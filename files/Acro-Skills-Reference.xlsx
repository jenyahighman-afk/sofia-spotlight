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kills" sheetId="2" state="visible" r:id="rId4"/>
    <sheet name="Drills" sheetId="3" state="visible" r:id="rId5"/>
    <sheet name="Links" sheetId="4" state="visible" r:id="rId6"/>
    <sheet name="Teacher questions" sheetId="5" state="visible" r:id="rId7"/>
    <sheet name="Summary" sheetId="6" state="visible" r:id="rId8"/>
  </sheets>
  <definedNames>
    <definedName function="false" hidden="true" localSheetId="2" name="_xlnm._FilterDatabase" vbProcedure="false">Drills!$A$1:$E$207</definedName>
    <definedName function="false" hidden="true" localSheetId="3" name="_xlnm._FilterDatabase" vbProcedure="false">Links!$A$1:$F$232</definedName>
    <definedName function="false" hidden="true" localSheetId="1" name="_xlnm._FilterDatabase" vbProcedure="false">Skills!$A$1:$N$176</definedName>
    <definedName function="false" hidden="true" localSheetId="4" name="_xlnm._FilterDatabase" vbProcedure="false">'Teacher questions'!$A$1:$E$78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<sst xmlns="http://schemas.openxmlformats.org/spreadsheetml/2006/main" count="4642" uniqueCount="1757">
  <si>
    <t xml:space="preserve">Acro Skills Reference</t>
  </si>
  <si>
    <t xml:space="preserve">Glass House Dance acro chart, Levels 1–4 · for Sofia's grown-ups · same content as Acro-Skills-Reference.pdf</t>
  </si>
  <si>
    <t xml:space="preserve">What this is</t>
  </si>
  <si>
    <t xml:space="preserve">A reference for parents: what each move on the studio's chart is, how it's done, the drills coaches use, and where to watch it. It is not a home training plan; Sofia's teachers decide what she's ready for.</t>
  </si>
  <si>
    <t xml:space="preserve">Safety key (column 'Safety' on Skills and Drills)</t>
  </si>
  <si>
    <t xml:space="preserve">Home: fine at home on a carpet or mat.</t>
  </si>
  <si>
    <t xml:space="preserve">Home + adult: home only on a proper mat, with an adult nearby, once the teacher says she has it.</t>
  </si>
  <si>
    <t xml:space="preserve">Class only: only in class with a coach spotting. Flips, handsprings, aerials, headspins and all partner lifts are class only.</t>
  </si>
  <si>
    <t xml:space="preserve">Sheets</t>
  </si>
  <si>
    <t xml:space="preserve">Skills: one row per move on the chart (plus 2 bonus moves). Her group is Level 2–3, shaded pink. 'Ask teacher' = Yes means the name isn't a standard term we could confirm.</t>
  </si>
  <si>
    <t xml:space="preserve">Drills: the standard drills for each move family, with their own safety rating.</t>
  </si>
  <si>
    <t xml:space="preserve">Links: videos, articles and Pinterest ideas per family. Click the title to open. Pinterest links are picture and short-clip ideas, often reposts, not instructions.</t>
  </si>
  <si>
    <t xml:space="preserve">Teacher questions: the names to ask about in class, with a column for the answer.</t>
  </si>
  <si>
    <t xml:space="preserve">Summary: counts by level, safety and her progress. They update as you fill in Status on Skills.</t>
  </si>
  <si>
    <t xml:space="preserve">Cells to fill in (yellow)</t>
  </si>
  <si>
    <t xml:space="preserve">Skills → Status: pick Not yet, Learning, Clean or Teacher-checked from the list. Skills → Notes: free text.</t>
  </si>
  <si>
    <t xml:space="preserve">Teacher questions → Teacher's answer and Date asked.</t>
  </si>
  <si>
    <t xml:space="preserve">Example of a filled-in row on Teacher questions: Round off: brandy | Teacher's answer: 'a round-off with …' (her words) | Date asked: 2026-10-28</t>
  </si>
  <si>
    <t xml:space="preserve">How this was made</t>
  </si>
  <si>
    <t xml:space="preserve">Web research in October 2026. Every link came from search results, but none could be opened to check them, so a few may have moved or disappeared. 'Machine' has no link. Safety ratings were reviewed and tightened for a 9-year-old.</t>
  </si>
  <si>
    <t xml:space="preserve">Section</t>
  </si>
  <si>
    <t xml:space="preserve">Family</t>
  </si>
  <si>
    <t xml:space="preserve">Level</t>
  </si>
  <si>
    <t xml:space="preserve">Her group</t>
  </si>
  <si>
    <t xml:space="preserve">Move</t>
  </si>
  <si>
    <t xml:space="preserve">What it is</t>
  </si>
  <si>
    <t xml:space="preserve">How it's done</t>
  </si>
  <si>
    <t xml:space="preserve">Common faults</t>
  </si>
  <si>
    <t xml:space="preserve">Safety</t>
  </si>
  <si>
    <t xml:space="preserve">Why this rating</t>
  </si>
  <si>
    <t xml:space="preserve">Before this</t>
  </si>
  <si>
    <t xml:space="preserve">Ask teacher</t>
  </si>
  <si>
    <t xml:space="preserve">Status</t>
  </si>
  <si>
    <t xml:space="preserve">Notes</t>
  </si>
  <si>
    <t xml:space="preserve">Acro basics</t>
  </si>
  <si>
    <t xml:space="preserve">Handstand</t>
  </si>
  <si>
    <t xml:space="preserve">Level 1</t>
  </si>
  <si>
    <t xml:space="preserve">Handstand: clap feet</t>
  </si>
  <si>
    <t xml:space="preserve">I could not find a written definition of this exact term; ask the teacher. From the name it most likely means kicking to a handstand, opening the legs and tapping or clapping the feet together once at the top before stepping down.</t>
  </si>
  <si>
    <t xml:space="preserve">1. Start in a lunge with arms straight up by the ears.
2. Reach long to the floor, place both hands shoulder-width apart and kick up.
3. At the top, keep the arms locked and the eyes on the floor between the hands.
4. Do the foot action the teacher shows (most likely legs open, then feet tap together).
5. Step down one leg at a time back into the lunge.</t>
  </si>
  <si>
    <t xml:space="preserve">• Bending the elbows when the legs move
• Kicking too hard and over-balancing
• Looking forward or tucking the chin, which collapses the shape</t>
  </si>
  <si>
    <t xml:space="preserve">Home + adult</t>
  </si>
  <si>
    <t xml:space="preserve">She is fully upside down with her weight on her wrists and shoulders, so practise only on a mat with clear space and an adult close by, and only once her teacher says her kick-up and safe exit (step down or cartwheel out) are solid.</t>
  </si>
  <si>
    <t xml:space="preserve">Strong plank and hollow-body hold; Wrist and shoulder warm-up and mobility (arms fully straight by the ears); Lunge kick-up to a T-shape or donkey kicks; Wall handstand with good alignment</t>
  </si>
  <si>
    <t xml:space="preserve">Yes</t>
  </si>
  <si>
    <t xml:space="preserve">Level 2</t>
  </si>
  <si>
    <t xml:space="preserve">Handstand: double stag</t>
  </si>
  <si>
    <t xml:space="preserve">A handstand held in a split shape with both knees bent, borrowing the 'double stag' leg shape from dance leaps. A regular stag handstand bends only the front knee; I found it described but not 'double stag' by name, so ask the teacher to confirm the exact shape.</t>
  </si>
  <si>
    <t xml:space="preserve">1. Kick to a handstand from a lunge with arms locked.
2. Split the legs front and back at the top.
3. Bend both knees so the feet point toward each other behind and in front, like a double stag leap upside down.
4. Hold briefly with the hips stacked over the shoulders.
5. Straighten the legs and step down with control.</t>
  </si>
  <si>
    <t xml:space="preserve">• Letting the hips sag or the back arch too much when the knees bend
• Uneven split (one leg drifts sideways)
• Rushing the shape so it is not clearly shown</t>
  </si>
  <si>
    <t xml:space="preserve">Level 3</t>
  </si>
  <si>
    <t xml:space="preserve">Handstand: helicopter</t>
  </si>
  <si>
    <t xml:space="preserve">Not a standard term I could verify; ask the teacher. On this chart 'helicopter' also appears on cartwheels, where it means switching the legs while upside down so the second leg lands first, so this may be a handstand with a leg switch, but I could not confirm that.</t>
  </si>
  <si>
    <t xml:space="preserve">1. Ask the teacher to demonstrate the exact action and entry.
2. It builds on a confident handstand with locked arms and a controlled exit.
3. Practise only the version and progression the teacher sets.</t>
  </si>
  <si>
    <t xml:space="preserve">• Attempting it before the basic handstand and exits are solid
• Losing straight arms while the legs move</t>
  </si>
  <si>
    <t xml:space="preserve">Level 4</t>
  </si>
  <si>
    <t xml:space="preserve">Handstand: walking (Level 4)</t>
  </si>
  <si>
    <t xml:space="preserve">Walking forward on the hands while staying in a handstand. The chart lists walking at Level 3 and Level 4; the difference (likely distance or control) is set by the studio, so ask the teacher what the Level 4 standard is. Acrobatic Arts places handstand walking in its Levels 7-8.</t>
  </si>
  <si>
    <t xml:space="preserve">1. Kick to a straight handstand with the shoulders pushed tall.
2. Let the body tip very slightly forward, just past balance.
3. Take small steps with the hands to stay underneath the feet.
4. Keep the legs together and squeezed, eyes on the floor ahead of the hands.
5. Step down or roll out with control when finished.</t>
  </si>
  <si>
    <t xml:space="preserve">• Big, rushed hand steps that let the legs fall over
• Arching the back into a banana shape
• Bending the elbows as the weight shifts from hand to hand</t>
  </si>
  <si>
    <t xml:space="preserve">Handstand: walking (Level 3)</t>
  </si>
  <si>
    <t xml:space="preserve">The first stage of handstand walking: a few controlled hand steps from a kick-up. The exact Level 3 target (number of steps or distance) is set by the studio, so ask the teacher.</t>
  </si>
  <si>
    <t xml:space="preserve">1. Kick up to handstand with arms locked and body tight.
2. Shift the weight slightly forward over the fingers.
3. Take short hand steps, keeping the shoulders over the hands.
4. Come down by stepping one leg down.</t>
  </si>
  <si>
    <t xml:space="preserve">• Starting to walk before finding balance
• Loose legs that swing apart
• Shoulders not fully open, so the body piles forward</t>
  </si>
  <si>
    <t xml:space="preserve">Handstand hold</t>
  </si>
  <si>
    <t xml:space="preserve">Handstand hold: 5 sec</t>
  </si>
  <si>
    <t xml:space="preserve">A freestanding handstand held still for five seconds.</t>
  </si>
  <si>
    <t xml:space="preserve">1. Kick up from a lunge with arms locked by the ears.
2. Find the balance point with the hips stacked over the shoulders.
3. Squeeze the legs together, point the toes and press the floor away.
4. Correct small wobbles with the fingers, not the arms.
5. Count to five, then step down.</t>
  </si>
  <si>
    <t xml:space="preserve">• Banana-shaped back
• Bent arms or sunken shoulders
• Correcting balance by walking the hands</t>
  </si>
  <si>
    <t xml:space="preserve">Holding a handstand loads the wrists and shoulders and a fall can be sudden, so practise at a wall or on a mat with an adult nearby once the teacher is happy with her form.</t>
  </si>
  <si>
    <t xml:space="preserve">Clean kick-up to handstand; Hollow-body hold and plank; Wall handstand of 20-30 seconds; Safe exit (step down or cartwheel out)</t>
  </si>
  <si>
    <t xml:space="preserve">Handstand hold: shoulder taps</t>
  </si>
  <si>
    <t xml:space="preserve">In a handstand (usually first at the wall), lifting one hand to tap the opposite shoulder, then switching. It builds one-arm strength and balance.</t>
  </si>
  <si>
    <t xml:space="preserve">1. Set up in a wall handstand, toes touching the wall, or a pike position on a box first.
2. Shift the weight onto one hand by leaning slightly into that shoulder.
3. Lift the free hand and tap the opposite shoulder.
4. Place it back down and repeat on the other side.
5. Keep the body tight and straight throughout.</t>
  </si>
  <si>
    <t xml:space="preserve">• Hips swinging side to side
• Bending the support arm
• Holding the breath and rushing the taps</t>
  </si>
  <si>
    <t xml:space="preserve">Handstand hold: 30 sec</t>
  </si>
  <si>
    <t xml:space="preserve">A freestanding handstand held still for thirty seconds, which needs good endurance and fine balance control.</t>
  </si>
  <si>
    <t xml:space="preserve">1. Kick up to a straight handstand.
2. Push tall through the shoulders and keep the ribs pulled in.
3. Breathe steadily and use the fingertips and heel of the hand to balance.
4. Hold the shape for 30 seconds, then step down.</t>
  </si>
  <si>
    <t xml:space="preserve">• Shape gradually arching as she tires
• Elbows softening
• Stopping breathing</t>
  </si>
  <si>
    <t xml:space="preserve">Cartwheel</t>
  </si>
  <si>
    <t xml:space="preserve">Cartwheel: both sides</t>
  </si>
  <si>
    <t xml:space="preserve">A standard cartwheel performed equally well leading with the right and with the left.</t>
  </si>
  <si>
    <t xml:space="preserve">1. Start in a lunge, arms straight up by the ears.
2. Reach forward and place the first hand, then the second, in a line on the floor.
3. Kick the back leg up and push off the front leg so the legs pass over in a wide straddle, hips over the hands.
4. Land one foot at a time back in a lunge, arms still up.
5. Repeat leading with the other side.</t>
  </si>
  <si>
    <t xml:space="preserve">• Hands placed side by side instead of in a line, so the cartwheel curves
• Bent knees and piked hips (legs not passing straight over the top)
• Only practising the strong side</t>
  </si>
  <si>
    <t xml:space="preserve">Basic and one-handed cartwheels are fine on grass or a mat with an adult nearby once she is confident, but the helicopter versions add a twist while upside down and should stay in class with a coach until the teacher clears them.</t>
  </si>
  <si>
    <t xml:space="preserve">Lunge and kick to handstand; Wrist and shoulder strength (bunny hops, wall handstand); Straddle and split flexibility; For one-handed and heli versions: a straight, clean cartwheel on both sides</t>
  </si>
  <si>
    <t xml:space="preserve">Cartwheel: 1 handed</t>
  </si>
  <si>
    <t xml:space="preserve">A cartwheel using only one hand on the floor. The near-hand version (same side as the lead leg) is easier; the far-hand version leads toward no-handed skills.</t>
  </si>
  <si>
    <t xml:space="preserve">1. Start from a lunge as for a normal cartwheel.
2. Place only the lead hand on the floor (usually the one on the same side as the lead leg).
3. Keep the free arm by the thigh or out to the side.
4. Kick over with straight legs and the hips stacked over the hand.
5. Land in a lunge one foot at a time.</t>
  </si>
  <si>
    <t xml:space="preserve">• Collapsing the supporting elbow
• Turning the hips so it becomes a sloppy round-off
• Not kicking high enough to get over the one hand</t>
  </si>
  <si>
    <t xml:space="preserve">Cartwheel: helicopter</t>
  </si>
  <si>
    <t xml:space="preserve">Starts like a cartwheel, but while upside down the legs scissor-switch so the leg that left the floor second lands first, giving a spinning 'helicopter' look.</t>
  </si>
  <si>
    <t xml:space="preserve">1. What it looks like: a cartwheel entry, a quick leg switch in the air at the top, and a landing on the opposite leg to a normal cartwheel.
2. Parts the coach teaches: a strong, high cartwheel; split and straddle control; the timing of the leg switch while upside down.
3. The coach builds it in progressions on mats and spots it before she tries it alone.</t>
  </si>
  <si>
    <t xml:space="preserve">• Switching the legs too early, before the body is upside down
• Bending the arms or dropping the shoulders during the switch
• Landing off-line</t>
  </si>
  <si>
    <t xml:space="preserve">Cartwheel: helicopter walkout</t>
  </si>
  <si>
    <t xml:space="preserve">Not a standard term I could verify; ask the teacher. It builds on the helicopter cartwheel, and 'walkout' probably refers to how the landing is finished, but I could not confirm the exact skill.</t>
  </si>
  <si>
    <t xml:space="preserve">1. Ask the teacher to show the exact landing and finish.
2. Requires a clean helicopter cartwheel first.
3. Practise only in class with the teacher's progressions.</t>
  </si>
  <si>
    <t xml:space="preserve">• Attempting it before the basic heli is consistent</t>
  </si>
  <si>
    <t xml:space="preserve">Round off</t>
  </si>
  <si>
    <t xml:space="preserve">A cartwheel that turns over the hands and lands on two feet together, facing the starting direction.</t>
  </si>
  <si>
    <t xml:space="preserve">1. Take a lunge or a small hurdle and reach long.
2. Place the first hand, then the second hand turned in, as the body quarter-turns.
3. Kick through handstand and bring the legs together over the top.
4. Push from the shoulders and snap both feet down together.
5. Land facing back the way she came, arms up.</t>
  </si>
  <si>
    <t xml:space="preserve">• Legs not joining until after the landing
• Hands placed too close to the feet, so the round off is short and low
• Landing piked forward instead of upright</t>
  </si>
  <si>
    <t xml:space="preserve">Class only</t>
  </si>
  <si>
    <t xml:space="preserve">The round off has a push and a moment of flight when the legs snap down, and the no-hands version is an aerial-type skill, so these are learned in class with a coach; at home stick to cartwheels and floor drills.</t>
  </si>
  <si>
    <t xml:space="preserve">Strong straight cartwheel on both sides; Handstand with locked arms; Hurdle/skip entry; Snap-down from handstand</t>
  </si>
  <si>
    <t xml:space="preserve">Round off: brandy</t>
  </si>
  <si>
    <t xml:space="preserve">Not a standard term I could verify; ask the teacher.</t>
  </si>
  <si>
    <t xml:space="preserve">1. Ask the teacher to demonstrate what the studio calls a 'brandy'.
2. It builds on a clean round off.</t>
  </si>
  <si>
    <t xml:space="preserve">• Trying it from a video guess before the teacher has shown it</t>
  </si>
  <si>
    <t xml:space="preserve">Round off: bob (no hands)</t>
  </si>
  <si>
    <t xml:space="preserve">'Bob' is not a standard term I could verify; ask the teacher. The chart's '(no hands)' suggests a round off performed without touching the floor, which would be an aerial-type skill.</t>
  </si>
  <si>
    <t xml:space="preserve">1. What it looks like (if it is a no-handed round off): a round-off shape done in the air with both feet landing together.
2. Parts a coach teaches: a powerful hurdle, a strong round off, then hand-less progressions on mats with spotting.
3. Only attempted in class with a qualified coach.</t>
  </si>
  <si>
    <t xml:space="preserve">• Attempting flight skills without a coach and mats</t>
  </si>
  <si>
    <t xml:space="preserve">Bridge / walkover</t>
  </si>
  <si>
    <t xml:space="preserve">Bridge</t>
  </si>
  <si>
    <t xml:space="preserve">Pushing up from lying on the back into an arch on straight arms and legs.</t>
  </si>
  <si>
    <t xml:space="preserve">1. Lie on the back, knees bent, feet flat and hip-width apart.
2. Place hands by the ears, fingers pointing toward the feet.
3. Push through hands and feet to lift the body into an arch.
4. Straighten the arms and push the shoulders over the hands.
5. Lower slowly, tucking the chin to bring the back of the head down first.</t>
  </si>
  <si>
    <t xml:space="preserve">• Bent arms with the head hanging
• Feet too far away or turned out
• Shoulders behind the hands</t>
  </si>
  <si>
    <t xml:space="preserve">Bridges from the floor are safe at home, but walkovers, kickovers from a back bend and especially the front aerial (a flying skill) are learned with a coach spotting because a mistake can drop her onto her head or neck.</t>
  </si>
  <si>
    <t xml:space="preserve">Bridge from the floor with straight arms and shoulders over the hands; Good back and shoulder flexibility; Front and side splits; Solid handstand; Bridge kickover before back walkover</t>
  </si>
  <si>
    <t xml:space="preserve">Front walkover</t>
  </si>
  <si>
    <t xml:space="preserve">From standing, kicking through handstand in a split, arching over into a bridge on one foot, then standing up.</t>
  </si>
  <si>
    <t xml:space="preserve">1. Start with arms by the ears and step into a lunge.
2. Place the hands and kick through a split handstand.
3. Let the back arch as the first foot reaches the floor behind.
4. Push through the shoulders and drive the hips forward to stand, head coming up last.
5. Finish balanced on one leg, other leg lifted, arms up.</t>
  </si>
  <si>
    <t xml:space="preserve">• Not enough shoulder flexibility, so she cannot stand up
• Bending the arms
• Bringing the head up first</t>
  </si>
  <si>
    <t xml:space="preserve">Dive walkover</t>
  </si>
  <si>
    <t xml:space="preserve">A front walkover entered with a reach and push forward, so there is distance and a brief stretched moment before the hands land.</t>
  </si>
  <si>
    <t xml:space="preserve">1. What it looks like: a long reach forward, a push from the floor, then a front walkover in a full split.
2. Coach cues from an Acrobatic Arts skill feature: distance after the push-off, full split in the walkover, head last to come up, balanced finish.
3. Taught in class on mats with spotting before it is done alone.</t>
  </si>
  <si>
    <t xml:space="preserve">• Diving down instead of out, so there is no distance
• Loose split in the walkover
• Head coming up early</t>
  </si>
  <si>
    <t xml:space="preserve">Front aerial</t>
  </si>
  <si>
    <t xml:space="preserve">A front walkover done completely in the air with no hands, landing one foot at a time.</t>
  </si>
  <si>
    <t xml:space="preserve">1. What it looks like: a run or step, a powerful kick and a no-hands rotation forward in a split, landing in a lunge.
2. Parts the coach teaches: a strong kick and drive, a fast punch, chest position and split, often using a system such as the ADTA 4-step method.
3. Learned only on mats with a qualified coach spotting.</t>
  </si>
  <si>
    <t xml:space="preserve">• Throwing the head and chest down
• Weak kick so the legs do not get round
• Trying it without spotting</t>
  </si>
  <si>
    <t xml:space="preserve">Back bend, kickover</t>
  </si>
  <si>
    <t xml:space="preserve">Lowering from standing back into a bridge (back bend), then kicking one leg over to come up to standing. Gymnastics teaches a bridge kickover from the floor as the step before the back walkover.</t>
  </si>
  <si>
    <t xml:space="preserve">1. Learn first from the floor: push up to a bridge, lift one leg, push from the shoulders and kick over to standing.
2. With a coach, practise reaching back from standing and lowering to the bridge.
3. From the bridge, shift the shoulders over the hands, lift one leg and kick over.
4. Land one foot at a time in a lunge.</t>
  </si>
  <si>
    <t xml:space="preserve">• Shoulders not over the hands, so she cannot kick over
• Bending the elbows
• Kicking with a bent leg</t>
  </si>
  <si>
    <t xml:space="preserve">Back walkover</t>
  </si>
  <si>
    <t xml:space="preserve">From standing, arching back through a bridge with one leg lifted, kicking over through a split handstand and stepping down to stand.</t>
  </si>
  <si>
    <t xml:space="preserve">1. Stand with one leg lifted in front and arms by the ears.
2. Arch back, reaching for the floor behind with straight arms.
3. As the hands land, push from the support leg and kick the lifted leg over.
4. Pass through a split handstand and step down one leg at a time.
5. Finish standing tall with arms up.</t>
  </si>
  <si>
    <t xml:space="preserve">• Sitting the hips back instead of pushing them forward
• Bending the arms when the hands land
• Looking for the floor too early</t>
  </si>
  <si>
    <t xml:space="preserve">Monster walkover</t>
  </si>
  <si>
    <t xml:space="preserve">1. Ask the teacher to demonstrate the studio's 'monster walkover'.
2. It is listed after the back walkover, so it likely needs a confident back walkover first.</t>
  </si>
  <si>
    <t xml:space="preserve">• Guessing the skill from videos before the teacher has shown it</t>
  </si>
  <si>
    <t xml:space="preserve">Front limber</t>
  </si>
  <si>
    <t xml:space="preserve">Handstand, legs together over into a bridge, then stand up.</t>
  </si>
  <si>
    <t xml:space="preserve">1. Start in a lunge with arms by the ears.
2. Kick to a handstand and bring the legs together.
3. Let the legs fall over together, arching the back, and land both feet at once in a bridge.
4. Push the shoulders forward over the hands and drive the hips up.
5. Pull up to standing with arms by the ears, head coming up last.</t>
  </si>
  <si>
    <t xml:space="preserve">• Bending the arms as the feet land
• Feet landing too close, so the bridge collapses
• Throwing the head up first to stand</t>
  </si>
  <si>
    <t xml:space="preserve">It goes over through handstand into a deep back arch, so learn it in class first and practise at home only on a mat with an adult nearby once the teacher says she has it; some coaches note it is hard on the lower back if forced.</t>
  </si>
  <si>
    <t xml:space="preserve">Strong straight-arm bridge; Handstand with legs together; Stand up from a bridge (with help first); Shoulder and upper-back flexibility</t>
  </si>
  <si>
    <t xml:space="preserve">Front limber: 1 hand</t>
  </si>
  <si>
    <t xml:space="preserve">A front limber with only one hand on the floor, which needs more strength and balance through the supporting shoulder.</t>
  </si>
  <si>
    <t xml:space="preserve">1. Start in a lunge as for a front limber.
2. Place one hand only and kick to a stacked position over it.
3. Bring the legs together and over into a bridge, supported on one arm.
4. Push through the shoulder and stand up.</t>
  </si>
  <si>
    <t xml:space="preserve">• Supporting arm bending
• Body twisting off the line
• Trying it before a two-handed limber is consistent</t>
  </si>
  <si>
    <t xml:space="preserve">Elbow stand</t>
  </si>
  <si>
    <t xml:space="preserve">Elbow stand: clap feet</t>
  </si>
  <si>
    <t xml:space="preserve">I could not find a written definition of this exact term; ask the teacher. From the name it most likely means an elbow stand with the feet tapping or clapping together at the top.</t>
  </si>
  <si>
    <t xml:space="preserve">1. Kneel and place the forearms on the floor shoulder-width apart, palms flat.
2. Walk the feet in until the hips are over the shoulders.
3. Kick up one leg then the other into the elbow stand.
4. Do the foot action the teacher shows, keeping the shoulders pushing away from the floor.
5. Come down one leg at a time.</t>
  </si>
  <si>
    <t xml:space="preserve">• Elbows sliding wider than the shoulders
• Shoulders sinking toward the floor
• Kicking up too hard and rolling over</t>
  </si>
  <si>
    <t xml:space="preserve">She balances upside down with her head close to the floor, so practise at a wall or on a mat with an adult nearby once the teacher is happy, and keep the deep-arch versions (hollowback, tick tock) for class until cleared.</t>
  </si>
  <si>
    <t xml:space="preserve">Headstand or comfort being upside down; Strong shoulders (dolphin/forearm plank); Shoulder flexibility to stack hips over the elbows; Back flexibility for the C-curve and hollowback shapes</t>
  </si>
  <si>
    <t xml:space="preserve">Elbow stand: double stag</t>
  </si>
  <si>
    <t xml:space="preserve">An elbow stand with the legs split front and back and both knees bent, like a double stag leap upside down. Inferred from the stag shape; ask the teacher to confirm.</t>
  </si>
  <si>
    <t xml:space="preserve">1. Kick up to a balanced elbow stand.
2. Split the legs front and back.
3. Bend both knees into the double stag shape.
4. Hold briefly, then straighten and come down.</t>
  </si>
  <si>
    <t xml:space="preserve">• Hips dropping as the legs bend
• Uneven split
• Losing shoulder push</t>
  </si>
  <si>
    <t xml:space="preserve">Elbow stand: helicopter</t>
  </si>
  <si>
    <t xml:space="preserve">Not a standard term I could verify; ask the teacher. Elsewhere on the chart 'helicopter' means a leg switch while upside down, so it may be a leg switch in the elbow stand, but I could not confirm it.</t>
  </si>
  <si>
    <t xml:space="preserve">1. Ask the teacher to demonstrate.
2. Requires a steady elbow stand first.
3. Practise only the progression the teacher sets.</t>
  </si>
  <si>
    <t xml:space="preserve">• Attempting it before the basic elbow stand is steady</t>
  </si>
  <si>
    <t xml:space="preserve">Elbow stand: elbow tick tock</t>
  </si>
  <si>
    <t xml:space="preserve">Not a standard term I could verify; ask the teacher. A standard tick tock rocks from handstand down to a bridge and back up to handstand; this may be the forearm version, but I found no source describing it.</t>
  </si>
  <si>
    <t xml:space="preserve">1. Ask the teacher to demonstrate.
2. A regular tick tock needs strong back, shoulder and hip flexor flexibility.
3. Learn it only in class with spotting.</t>
  </si>
  <si>
    <t xml:space="preserve">• Attempting deep back arches without enough flexibility or a spotter</t>
  </si>
  <si>
    <t xml:space="preserve">Elbow stand: C-curve</t>
  </si>
  <si>
    <t xml:space="preserve">I could not find a written definition of this exact term; ask the teacher. From the name it most likely means an elbow stand with the back gently arched so the body forms a C shape, a step toward the deeper hollowback.</t>
  </si>
  <si>
    <t xml:space="preserve">1. Kick up to a balanced elbow stand.
2. Keep pushing the shoulders up and the elbows in.
3. Let the back arch gently as the legs lower slightly behind, forming a C shape (as shown by the teacher).
4. Hold briefly and return to straight before coming down.</t>
  </si>
  <si>
    <t xml:space="preserve">• Arching from the lower back only
• Shoulders collapsing as the legs go back</t>
  </si>
  <si>
    <t xml:space="preserve">Elbow stand: hollowback</t>
  </si>
  <si>
    <t xml:space="preserve">A deep backbend in the forearm stand: the chest pushes through, the back arches strongly and the legs drop toward or over the head.</t>
  </si>
  <si>
    <t xml:space="preserve">1. Build a steady forearm stand first, often against a wall.
2. Push the chest forward through the arms while keeping the shoulders lifted.
3. Arch through the whole spine and let the legs lower behind toward the head.
4. Hold with control and return to straight, or come down as the teacher directs.</t>
  </si>
  <si>
    <t xml:space="preserve">• Dumping into the lower back instead of arching the whole spine
• Shoulders sinking so the head touches the floor
• Trying it before a comfortable forearm stand</t>
  </si>
  <si>
    <t xml:space="preserve">Elbow cartwheel</t>
  </si>
  <si>
    <t xml:space="preserve">Elbow cartwheel: from knees</t>
  </si>
  <si>
    <t xml:space="preserve">The beginner version: starting kneeling, placing the forearms one after the other and rolling the legs over in a cartwheel line.</t>
  </si>
  <si>
    <t xml:space="preserve">1. Kneel side-on to the line with arms ready.
2. Place the first forearm then the second on the floor in a line, hands flat.
3. Lift the hips over the elbows and swing the legs over in a straddle.
4. Land one foot at a time on the far side.
5. Keep the head lifted off the floor throughout.</t>
  </si>
  <si>
    <t xml:space="preserve">• Head touching or resting on the floor
• Elbows too close together, so she rolls sideways
• Legs bent and dragging</t>
  </si>
  <si>
    <t xml:space="preserve">Her head passes close to the floor while she is upside down, so practise on a mat with an adult nearby once the teacher says she has it; keep the helicopter version for class.</t>
  </si>
  <si>
    <t xml:space="preserve">Regular cartwheel; Comfort in an elbow stand or headstand; Forearm and shoulder strength; Straddle flexibility</t>
  </si>
  <si>
    <t xml:space="preserve">Elbow cartwheel: from standing</t>
  </si>
  <si>
    <t xml:space="preserve">The same skill started from standing or a lunge, so the dancer lowers down to the forearms with control before going over.</t>
  </si>
  <si>
    <t xml:space="preserve">1. Start in a lunge with arms up.
2. Reach down and place the forearms in a line, lowering with control.
3. Kick the legs over in a wide straddle, hips over the elbows.
4. Land one foot at a time and stand up.</t>
  </si>
  <si>
    <t xml:space="preserve">• Dropping onto the forearms with no control
• Head going to the floor
• Not kicking high enough to get the hips over</t>
  </si>
  <si>
    <t xml:space="preserve">Elbow cartwheel: one elbow from standing</t>
  </si>
  <si>
    <t xml:space="preserve">An elbow cartwheel from standing using only one forearm on the floor, which needs much more shoulder strength and balance.</t>
  </si>
  <si>
    <t xml:space="preserve">1. Start in a lunge.
2. Lower onto one forearm only, the other arm held clear.
3. Kick over with straight legs, hips stacked over the supporting elbow.
4. Land one foot at a time.</t>
  </si>
  <si>
    <t xml:space="preserve">• Supporting shoulder collapsing
• Rolling off the line
• Trying it before the two-elbow version is solid</t>
  </si>
  <si>
    <t xml:space="preserve">Elbow cartwheel: helicopter</t>
  </si>
  <si>
    <t xml:space="preserve">Not a standard term I could verify; ask the teacher. On the chart 'helicopter' also applies to cartwheels, where it means a leg switch while upside down, so this may be the elbow-cartwheel version, but I found no source for it.</t>
  </si>
  <si>
    <t xml:space="preserve">1. Ask the teacher to demonstrate.
2. Requires a consistent elbow cartwheel and a helicopter cartwheel.
3. Practise only in class with the teacher's progressions.</t>
  </si>
  <si>
    <t xml:space="preserve">• Attempting it before both base skills are solid</t>
  </si>
  <si>
    <t xml:space="preserve">Headstand</t>
  </si>
  <si>
    <t xml:space="preserve">The basic tripod headstand: head and hands form a triangle, body held straight and still above.</t>
  </si>
  <si>
    <t xml:space="preserve">1. Kneel on a mat and place the hands shoulder-width apart, with the front of the top of the head on the mat ahead of them so the three points form a triangle.
2. Straighten the legs and walk the feet in toward the elbows, hips rising over the shoulders.
3. Rest one knee then the other on the elbows (the tripod or 'frog' balance).
4. Tighten the tummy and slowly lift the legs up together until the body is straight.
5. To come down, bend the knees, lower the feet with control, or tuck the chin and roll out.</t>
  </si>
  <si>
    <t xml:space="preserve">• Too much weight on the head instead of pressing through the hands
• Head and hands in a straight line instead of a triangle, so she tips sideways
• Kicking up instead of lifting slowly with a tight core</t>
  </si>
  <si>
    <t xml:space="preserve">A tripod headstand is a still hold that is fine on a proper mat with an adult nearby once the teacher is happy with it; the Level 4 headspin/drill loads the neck while spinning and is class-only. The headspin / drill puts spinning load on the head and neck: class only.</t>
  </si>
  <si>
    <t xml:space="preserve">Strong core (hollow hold); Shoulder and arm strength to take most of the weight in the hands; Confident tuck and forward roll to come out safely; Tripod balance with knees resting on elbows</t>
  </si>
  <si>
    <t xml:space="preserve">Headstand: from crow</t>
  </si>
  <si>
    <t xml:space="preserve">Starts in a crow balance (knees on the backs of the arms) and moves into the headstand without putting the feet down.</t>
  </si>
  <si>
    <t xml:space="preserve">1. Hold a steady crow.
2. Lean forward and lower the top of the head to the mat ahead of the hands to make a tripod.
3. Keep the knees resting on the arms for a moment to find balance.
4. Slowly lift the legs up into a straight headstand.
5. Reverse the path or tuck and roll out to finish.</t>
  </si>
  <si>
    <t xml:space="preserve">• Dropping onto the head quickly instead of lowering with the arms
• Hands too close to the head, so there is no triangle
• Arching the back as the legs lift</t>
  </si>
  <si>
    <t xml:space="preserve">Headstand: walking circle</t>
  </si>
  <si>
    <t xml:space="preserve">I could not find a written description of this exact variation. It most likely means turning the body all the way round while staying in the headstand by taking small steps with the hands; please confirm the details with the teacher.</t>
  </si>
  <si>
    <t xml:space="preserve">1. Begin in a steady tripod headstand.
2. Keep the body tight and stacked over the head.
3. The teacher will show how the hands step around so the body turns a full circle.
4. Come down with control or tuck and roll out.</t>
  </si>
  <si>
    <t xml:space="preserve">• Losing the tight body line while the hands move
• Moving the head instead of keeping it as the fixed point</t>
  </si>
  <si>
    <t xml:space="preserve">Headstand: headspin / drill</t>
  </si>
  <si>
    <t xml:space="preserve">Class-only. A headspin is a breaking power move where the dancer spins on the top of the head while upside down. In breaking slang 'drills' usually means fast, tight headspins, but I could not confirm a source for this in this task, so ask the teacher what she means.</t>
  </si>
  <si>
    <t xml:space="preserve">1. What it looks like: the dancer is upside down on the head, legs up, spinning round.
2. Coaches build it from a very steady tripod headstand and shoulder strength first.
3. Breakers use a beanie or helmet and a smooth floor; the coach teaches the hand push that starts the spin and how to stop and come out safely.
4. Only practised with a coach watching.</t>
  </si>
  <si>
    <t xml:space="preserve">• Spinning before the headstand balance is solid
• Letting the neck take the force instead of staying tight through the body
• Practising without a coach or head protection</t>
  </si>
  <si>
    <t xml:space="preserve">Headspring</t>
  </si>
  <si>
    <t xml:space="preserve">Headspring: headstand to bridge</t>
  </si>
  <si>
    <t xml:space="preserve">The first stage: from a headstand she lets the legs fall over the far side and lands in a bridge, learning the arched shape without the push.</t>
  </si>
  <si>
    <t xml:space="preserve">1. What it looks like: she holds a tripod headstand, lets the legs travel slowly over and lands with feet on the mat in a bridge.
2. Coaches often have her fall onto a soft raised mat first.
3. The coach supports the shoulders and lower back and teaches keeping the head still and the arms pushing.</t>
  </si>
  <si>
    <t xml:space="preserve">• Bending the head forward instead of keeping it in place
• Collapsing the arms so the neck takes weight
• Letting the legs drop fast and crashing into the bridge</t>
  </si>
  <si>
    <t xml:space="preserve">It is a flipping skill that passes over the head and neck, so it is learned only with a coach spotting on proper mats.</t>
  </si>
  <si>
    <t xml:space="preserve">Solid tripod headstand; Bridge with straight arms; Forward roll; Core and shoulder strength to push from the floor</t>
  </si>
  <si>
    <t xml:space="preserve">The full skill: from a pike with head and hands down, she drives the legs over and pushes off the floor with the arms to land standing.</t>
  </si>
  <si>
    <t xml:space="preserve">1. What it looks like: a quick pike with hands and head on the mat, a whip of the legs over the top, a strong push from the hands, then a landing on the feet.
2. Coaches teach it first off a raised box or mat onto a crash mat.
3. The coach teaches that the pike comes before the leg drive, and the timing of the arm push.
4. Spotters hold the shoulders and lower back right through the landing.</t>
  </si>
  <si>
    <t xml:space="preserve">• Driving the legs before reaching the pike
• Not pushing hard through the arms, so she lands sitting
• Throwing the head back or tucking it during the push</t>
  </si>
  <si>
    <t xml:space="preserve">Headspring: no hands</t>
  </si>
  <si>
    <t xml:space="preserve">Class-only. An advanced version, common in wushu, where the hands do not push off the floor, so all the lift comes from the leg whip and body snap.</t>
  </si>
  <si>
    <t xml:space="preserve">1. What it looks like: a headspring where the arms stay off the floor or come off early.
2. Only taught after a strong, consistent regular headspring.
3. The coach teaches the extra leg snap and how to land safely.</t>
  </si>
  <si>
    <t xml:space="preserve">• Trying it before the regular headspring is consistent
• Letting the neck take the force</t>
  </si>
  <si>
    <t xml:space="preserve">Kip up</t>
  </si>
  <si>
    <t xml:space="preserve">Kip up: to shoulder bridge</t>
  </si>
  <si>
    <t xml:space="preserve">The first stage: she rolls back and kicks, landing with feet on the mat and hips lifted while the shoulders stay on the floor.</t>
  </si>
  <si>
    <t xml:space="preserve">1. Lie on the back with knees pulled toward the chest, hands by the ears.
2. Rock back onto the shoulders.
3. Kick the legs up and forward toward the ceiling.
4. Land the feet on the mat with knees bent and hips pushed up, shoulders still down.</t>
  </si>
  <si>
    <t xml:space="preserve">• Kicking straight out instead of up
• Not lifting the hips on landing</t>
  </si>
  <si>
    <t xml:space="preserve">The early stages stay on the back and land in a bridge, so they are fine on a mat with an adult nearby once the teacher says so; the no-hands version is class-only.</t>
  </si>
  <si>
    <t xml:space="preserve">Backward rock in a tuck; Bridge; Core strength; Shoulder and wrist strength for the hand push</t>
  </si>
  <si>
    <t xml:space="preserve">Kip up: to bridge</t>
  </si>
  <si>
    <t xml:space="preserve">Same kick, but she also pushes through the hands so she lands in a full bridge with arms straight.</t>
  </si>
  <si>
    <t xml:space="preserve">1. Rock back with hands flat by the ears, fingers toward the shoulders.
2. Kick up and forward.
3. Push hard through the hands at the same moment.
4. Land on the balls of the feet in a bridge, arms pushing straight.</t>
  </si>
  <si>
    <t xml:space="preserve">• Pushing with the hands too late
• Feet landing too far away to bridge
• Bent arms so the head touches down</t>
  </si>
  <si>
    <t xml:space="preserve">Kip up: to standing</t>
  </si>
  <si>
    <t xml:space="preserve">The full kip-up: the kick and push are strong enough that she lands in a deep squat and stands up.</t>
  </si>
  <si>
    <t xml:space="preserve">1. Rock back with hands by the ears.
2. Kick the legs up and forward and push with the hands.
3. Snap the hips forward and bring the feet under the body.
4. Land in a deep squat with the chest up, then stand.</t>
  </si>
  <si>
    <t xml:space="preserve">• Feet landing too far in front, so she falls back to sitting
• Not snapping the hips through
• Kicking forward instead of up first</t>
  </si>
  <si>
    <t xml:space="preserve">Kip up: no hands</t>
  </si>
  <si>
    <t xml:space="preserve">Class-only. The kip-up without the hand push; all the power comes from the leg kick and hip snap.</t>
  </si>
  <si>
    <t xml:space="preserve">1. What it looks like: a kip-up where the hands stay off the floor, often resting on the thighs or chest.
2. Only taught after a consistent kip-up to standing.
3. The coach teaches the stronger kick and how to bail safely if it does not make it.</t>
  </si>
  <si>
    <t xml:space="preserve">• Trying it before the hands version is consistent
• Letting the head and neck absorb a failed attempt</t>
  </si>
  <si>
    <t xml:space="preserve">Aerial</t>
  </si>
  <si>
    <t xml:space="preserve">Aerial: dive cartwheel / time</t>
  </si>
  <si>
    <t xml:space="preserve">A dive cartwheel reaches far forward and has a moment of flight before the hands land, teaching the reach and drive used in the aerial. The meaning of 'time' on the chart is unclear (perhaps timing); ask the teacher.</t>
  </si>
  <si>
    <t xml:space="preserve">1. Step into a long lunge with arms up.
2. Reach long and far, kicking the back leg, so there is a little flight before the hands touch.
3. Pass through a straight cartwheel shape.
4. Land one foot after the other in a lunge.</t>
  </si>
  <si>
    <t xml:space="preserve">• Putting the hands down close instead of reaching far
• Bent legs over the top
• Landing both feet together</t>
  </si>
  <si>
    <t xml:space="preserve">It is a flipping skill with flight and no hands, so it is learned only in class with a qualified coach spotting.</t>
  </si>
  <si>
    <t xml:space="preserve">Strong, straight cartwheel on both sides; Dive and one-handed cartwheels; Good split and leg power; Fast, controlled lunge</t>
  </si>
  <si>
    <t xml:space="preserve">The basic no-hands cartwheel from a step or short run.</t>
  </si>
  <si>
    <t xml:space="preserve">1. What it looks like: a strong lunge, the chest drops forward, the back leg kicks hard, and the body turns over sideways in the air.
2. The coach teaches the lunge, the leg kick, and pulling the arms away from the floor.
3. It is usually learned first off a raised mat or onto a soft surface with a spot.
4. She lands one foot after the other, chest lifting.</t>
  </si>
  <si>
    <t xml:space="preserve">• Hovering the hands near the floor instead of committing
• Not kicking the back leg hard enough
• Jumping far instead of high</t>
  </si>
  <si>
    <t xml:space="preserve">Aerial: hurdle aerial / bad side</t>
  </si>
  <si>
    <t xml:space="preserve">An aerial from a hurdle (a skip-step) for more power, and also learning the aerial on her weaker side.</t>
  </si>
  <si>
    <t xml:space="preserve">1. What it looks like: a short run, a hurdle step, then the aerial.
2. The coach teaches turning the hurdle into a fast lunge.
3. For the 'bad side', the coach rebuilds the cartwheel and aerial drills on the other side.</t>
  </si>
  <si>
    <t xml:space="preserve">• Losing speed in the hurdle
• Skipping the drills on the weaker side</t>
  </si>
  <si>
    <t xml:space="preserve">Aerial: 1 step</t>
  </si>
  <si>
    <t xml:space="preserve">An aerial from a single step rather than a run or hurdle, so all the power comes from the lunge and leg kick.</t>
  </si>
  <si>
    <t xml:space="preserve">1. What it looks like: one step into a lunge and straight into the aerial.
2. The coach teaches a very strong lunge and kick for height without a run.
3. Built from consistent hurdle aerials.</t>
  </si>
  <si>
    <t xml:space="preserve">• Not enough height without the run
• Leaning sideways instead of forward</t>
  </si>
  <si>
    <t xml:space="preserve">Aerial: from knee</t>
  </si>
  <si>
    <t xml:space="preserve">This seems to mean an aerial started from a kneeling position, but I could not find a reliable description to confirm it; ask the teacher.</t>
  </si>
  <si>
    <t xml:space="preserve">1. Ask the teacher to explain and demonstrate the set-up.</t>
  </si>
  <si>
    <t xml:space="preserve">• Trying it without a coach</t>
  </si>
  <si>
    <t xml:space="preserve">Aerial: sweep through leg</t>
  </si>
  <si>
    <t xml:space="preserve">1. Ask the teacher to explain and demonstrate.</t>
  </si>
  <si>
    <t xml:space="preserve">Front aerial: with run</t>
  </si>
  <si>
    <t xml:space="preserve">A front aerial taken from a run, which gives extra speed and height.</t>
  </si>
  <si>
    <t xml:space="preserve">1. What it looks like: a run, a hurdle step, a strong lunge, then the body swings over forward in a split shape and lands on the front foot.
2. Coaches build it from front walkovers and drills off stacked panel mats onto a thick mat.
3. Panels are taken away one at a time as she gets comfortable; the coach spots the first unaided tries.</t>
  </si>
  <si>
    <t xml:space="preserve">• Throwing the head down instead of keeping the chest lifting
• Bent legs, which slows the turn
• Not enough leg kick to get round</t>
  </si>
  <si>
    <t xml:space="preserve">It is a forward flip with no hands, so it is learned only in class with a qualified coach spotting.</t>
  </si>
  <si>
    <t xml:space="preserve">Solid side aerial; Front walkover and front limber; Strong handstand; Good split flexibility and leg power</t>
  </si>
  <si>
    <t xml:space="preserve">Front aerial: 1 step</t>
  </si>
  <si>
    <t xml:space="preserve">A front aerial from a single step rather than a run, so the lunge and leg kick have to make all the power.</t>
  </si>
  <si>
    <t xml:space="preserve">1. What it looks like: one step into a lunge and straight over in the air.
2. Built from consistent front aerials with a run.
3. The coach teaches a sharper kick and chest position.</t>
  </si>
  <si>
    <t xml:space="preserve">• Not enough height without a run
• Landing on both feet instead of stepping out</t>
  </si>
  <si>
    <t xml:space="preserve">Front roll</t>
  </si>
  <si>
    <t xml:space="preserve">Front roll: somersault</t>
  </si>
  <si>
    <t xml:space="preserve">The basic forward roll from a squat or standing.</t>
  </si>
  <si>
    <t xml:space="preserve">1. Stand with feet together, then squat and place the hands flat on the mat, fingers forward.
2. Lift the hips and tuck the chin so she looks at her tummy.
3. Push from the feet and roll over the back of the head and rounded back.
4. Keep the knees tucked and come up onto the feet, arms reaching forward.</t>
  </si>
  <si>
    <t xml:space="preserve">• Rolling on the top of the head instead of the back of the head
• Opening the tuck so she lands flat on the back
• Pushing up with the hands on the way out</t>
  </si>
  <si>
    <t xml:space="preserve">The basic somersault is a floor roll that is fine on a carpet or mat; dive rolls, the handstand roll and the pirate roll are class-only because they involve flight or coming down from upside down. Dive rolls (distance and height) and the no-hands pirate roll have flight in them: class only until the teacher says otherwise.</t>
  </si>
  <si>
    <t xml:space="preserve">Tucking the chin to the chest; Tuck rocks on a rounded back; Squat with hands flat on the mat</t>
  </si>
  <si>
    <t xml:space="preserve">Front roll: dive roll (distance)</t>
  </si>
  <si>
    <t xml:space="preserve">Class-only. A forward roll with a moment of flight first, reaching long along the mat before the hands land.</t>
  </si>
  <si>
    <t xml:space="preserve">1. What it looks like: a small jump forward, hands reach far down the mat, then a smooth forward roll.
2. Coaches start from a regular roll and slowly add distance, often reaching over a soft object.
3. The coach teaches landing on the hands first and bending the arms to soften into the roll.</t>
  </si>
  <si>
    <t xml:space="preserve">• Landing on the head instead of the hands
• Straight arms that do not absorb the landing
• Not tucking the chin in time</t>
  </si>
  <si>
    <t xml:space="preserve">Front roll: dive roll (height)</t>
  </si>
  <si>
    <t xml:space="preserve">Class-only. A dive roll that goes up high, not just far, often over an object.</t>
  </si>
  <si>
    <t xml:space="preserve">1. What it looks like: a jump up with the body stretched, then the hands reach down and she rolls through.
2. Built from dive rolls for distance; height is added slowly on soft mats.
3. The coach teaches the hand landing, chin tuck and arm bend.</t>
  </si>
  <si>
    <t xml:space="preserve">• Diving down too steeply
• Not tucking the chin before landing</t>
  </si>
  <si>
    <t xml:space="preserve">Front roll: pirate roll (no hands)</t>
  </si>
  <si>
    <t xml:space="preserve">Not a standard term I could verify; ask the teacher. The chart note says no hands, so it is likely a forward roll without the hands touching, but I could not find a reliable description.</t>
  </si>
  <si>
    <t xml:space="preserve">Front roll: handstand roll</t>
  </si>
  <si>
    <t xml:space="preserve">A handstand that bends the arms and tucks the chin to lower into a forward roll.</t>
  </si>
  <si>
    <t xml:space="preserve">1. What it looks like: she kicks up to a handstand, then bends the arms slowly and tucks the chin.
2. She rolls over the back of the head and rounded back and stands up.
3. Coaches use an incline mat at first and teach both bent-arm and straight-arm versions.</t>
  </si>
  <si>
    <t xml:space="preserve">• Not tucking the chin, so the head takes weight
• Falling over flat instead of lowering with control
• Weak handstand before trying the roll</t>
  </si>
  <si>
    <t xml:space="preserve">Ponche roll</t>
  </si>
  <si>
    <t xml:space="preserve">Not a standard term I could verify; ask the teacher. It may be the 'penché roll' seen in some acro videos, but I could not confirm it.</t>
  </si>
  <si>
    <t xml:space="preserve">• Not known; ask the teacher</t>
  </si>
  <si>
    <t xml:space="preserve">Because I could not confirm what the move is, keep it to class until the teacher has shown exactly what the studio means.</t>
  </si>
  <si>
    <t xml:space="preserve">Ask the teacher</t>
  </si>
  <si>
    <t xml:space="preserve">Ponche roll: no hands</t>
  </si>
  <si>
    <t xml:space="preserve">Not a standard term I could verify; ask the teacher. Presumably the same roll without the hands touching the floor.</t>
  </si>
  <si>
    <t xml:space="preserve">Crow</t>
  </si>
  <si>
    <t xml:space="preserve">The basic crow balance on the hands with knees on the arms and feet off the floor.</t>
  </si>
  <si>
    <t xml:space="preserve">1. Squat with feet together and place the hands flat, shoulder-width apart, fingers spread.
2. Bend the elbows a little and press the knees onto the backs of the upper arms.
3. Look slightly forward, not down at the feet.
4. Lean forward slowly until one foot, then both, lift off the floor.
5. Hold with a rounded back and tight tummy, then lower the feet.</t>
  </si>
  <si>
    <t xml:space="preserve">• Looking straight down, which tips her forward
• Elbows flaring out to the sides
• Jumping the feet up instead of leaning</t>
  </si>
  <si>
    <t xml:space="preserve">Home</t>
  </si>
  <si>
    <t xml:space="preserve">It is a low balance close to the floor; a cushion in front of the face makes tipping forward harmless.</t>
  </si>
  <si>
    <t xml:space="preserve">Wrist warm-up and wrist strength; Squat with heels down; Core strength to hold the knees up</t>
  </si>
  <si>
    <t xml:space="preserve">Shoulder roll</t>
  </si>
  <si>
    <t xml:space="preserve">The basic roll over one shoulder from kneeling or lying on the back.</t>
  </si>
  <si>
    <t xml:space="preserve">1. Start sitting or lying on the back.
2. Turn the chin over one shoulder so the head is out of the way.
3. Swing or reach the legs back over that shoulder.
4. Roll over the shoulder (not the neck) and land on the knees or feet.</t>
  </si>
  <si>
    <t xml:space="preserve">• Rolling over the neck instead of the shoulder
• Not turning the head to the side
• Rushing so the knees bang down</t>
  </si>
  <si>
    <t xml:space="preserve">The basic shoulder roll is a soft floor roll fine on a carpet or mat; the fish roll and fish flop drop the body from a shoulder stand, so practise those at home only on a mat once the teacher says she has them.</t>
  </si>
  <si>
    <t xml:space="preserve">Candlestick (shoulder stand); Knowing how to turn the head to the side; Core control to lower the legs slowly</t>
  </si>
  <si>
    <t xml:space="preserve">Shoulder roll: fish roll</t>
  </si>
  <si>
    <t xml:space="preserve">A shoulder roll where the legs go up straight toward the ceiling, then she rolls over the shoulder and lowers onto her front, arching like a fish.</t>
  </si>
  <si>
    <t xml:space="preserve">1. Lie on the back, swing the legs up to vertical with toes pointed to the ceiling, not over the head.
2. Turn the head and roll over one shoulder at the top.
3. On the way down, arch the back and bend the knees.
4. Lower onto the front of the body, face down, with control.</t>
  </si>
  <si>
    <t xml:space="preserve">• Legs going over the head instead of straight up
• Straight, flexed legs on the way down, so the landing is hard on the toes
• Not controlling the lowering</t>
  </si>
  <si>
    <t xml:space="preserve">Shoulder roll: switch leg</t>
  </si>
  <si>
    <t xml:space="preserve">I could not find a reliable description of this exact variation. It probably means the legs switch or scissor during the roll; ask the teacher.</t>
  </si>
  <si>
    <t xml:space="preserve">Shoulder roll: reverse fish</t>
  </si>
  <si>
    <t xml:space="preserve">I could not find a reliable description of this exact variation. It is probably a fish roll done in the opposite direction; ask the teacher.</t>
  </si>
  <si>
    <t xml:space="preserve">Shoulder roll: fish flop</t>
  </si>
  <si>
    <t xml:space="preserve">A close cousin of the fish roll: some videos call a backwards shoulder roll a fish flop. Studios use 'fish roll' and 'fish flop' a little differently, so check which shape the teacher wants.</t>
  </si>
  <si>
    <t xml:space="preserve">1. Lie on the back and bring the legs up over one shoulder.
2. Turn the head out to the side and roll over the shoulder.
3. Arch and bend the knees as she comes down.
4. Land softly on the front of the body.</t>
  </si>
  <si>
    <t xml:space="preserve">• Rolling over the neck
• Dropping the legs hard instead of lowering</t>
  </si>
  <si>
    <t xml:space="preserve">Backwards roll</t>
  </si>
  <si>
    <t xml:space="preserve">Backwards roll: to straddle</t>
  </si>
  <si>
    <t xml:space="preserve">The backward roll finishing with legs apart in a straddle stand, which is easier because the feet land closer to the hands.</t>
  </si>
  <si>
    <t xml:space="preserve">1. Sit and roll back on a rounded back with the chin tucked.
2. Place the hands flat by the ears, fingers pointing toward the shoulders.
3. As the hips go over, open the legs wide.
4. Push hard through the hands and land the feet apart in a straddle stand.</t>
  </si>
  <si>
    <t xml:space="preserve">• Not pushing with the hands, so the neck takes weight
• Opening the legs too early
• Elbows flaring out</t>
  </si>
  <si>
    <t xml:space="preserve">The neck is loaded unless the hands push hard, so it is practised on a proper mat with an adult nearby once the teacher says so; the roll to handstand is class-only.</t>
  </si>
  <si>
    <t xml:space="preserve">Tuck rocks; Candlestick; Hands flat by the ears with fingers toward the shoulders; Arm strength to push the head clear of the mat</t>
  </si>
  <si>
    <t xml:space="preserve">Backwards roll: to standing</t>
  </si>
  <si>
    <t xml:space="preserve">The full backward roll from standing back to standing with feet together.</t>
  </si>
  <si>
    <t xml:space="preserve">1. Stand tall with arms by the ears, then squat and sit back with a rounded back.
2. Push off the balls of the feet and tuck the chin.
3. Hands flat by the shoulders as she rolls.
4. Push through the hands with feet pointed toward the floor.
5. Land on the feet with knees bent and stand up.</t>
  </si>
  <si>
    <t xml:space="preserve">• Tucking the chin too early
• Not enough momentum from the legs
• Landing with straight legs</t>
  </si>
  <si>
    <t xml:space="preserve">Backwards roll: to handstand</t>
  </si>
  <si>
    <t xml:space="preserve">Class-only. The back extension roll: a backward roll where she pushes straight up into a handstand instead of landing on the feet.</t>
  </si>
  <si>
    <t xml:space="preserve">1. What it looks like: she rolls back, then pushes the arms straight and opens the body up to a handstand.
2. Coaches teach it down an incline mat first, then with a folded panel mat to help the push.
3. The coach teaches straight arms, a fast hand placement and keeping the head in.
4. Built from a backward roll to push-up or front support.</t>
  </si>
  <si>
    <t xml:space="preserve">• Bent arms and muscling up
• Opening up or popping the head out too early
• Slow hand placement</t>
  </si>
  <si>
    <t xml:space="preserve">Candlestick</t>
  </si>
  <si>
    <t xml:space="preserve">The basic shoulder stand, legs together and pointed straight up.</t>
  </si>
  <si>
    <t xml:space="preserve">1. Lie on the back, or squat and roll backward from standing.
2. Lift the legs and hips toward the ceiling.
3. Support the lower back with the hands, or press the straight arms into the floor.
4. Line up hips, shoulders and legs, toes pointed, and breathe normally.
5. Rock back up to sitting or standing to finish.</t>
  </si>
  <si>
    <t xml:space="preserve">• Hips bent so the legs angle over the face
• Weight on the neck instead of the upper back
• Bent knees or loose feet</t>
  </si>
  <si>
    <t xml:space="preserve">It is a floor hold on the upper back that is fine on a carpet or mat, as long as she does not press the weight onto her neck.</t>
  </si>
  <si>
    <t xml:space="preserve">Lying on the back and lifting the legs; Core strength; Pointed toes and straight knees</t>
  </si>
  <si>
    <t xml:space="preserve">Chest stand</t>
  </si>
  <si>
    <t xml:space="preserve">Chest stand: leg on floor</t>
  </si>
  <si>
    <t xml:space="preserve">The chest stand itself is a standard acro skill, but the exact meaning of 'leg on floor' on this chart is not a standard term I could verify; ask the teacher. It reads like a beginner version where a foot stays in contact with the floor for support.</t>
  </si>
  <si>
    <t xml:space="preserve">1. Lie on the tummy on a mat, hands flat beside the chest like a push-up
2. Press the hands into the floor and lift the hips while the chest stays down
3. Arch the upper back and lift the legs up behind, keeping the length spread through the whole spine rather than crunching the lower back
4. Keep the weight balanced between chest, shoulders and hands, breathing steadily
5. Lower the legs slowly with control to come out</t>
  </si>
  <si>
    <t xml:space="preserve">• Crunching all the bend into the lower back (the most common error Acrobatic Arts names)
• Holding the breath, which can cause dizziness
• Hands too far forward so the arms cannot press</t>
  </si>
  <si>
    <t xml:space="preserve">There is no flight, but the skill bends the lower back hard, so Acrobatic Arts warns that lack of supervision and trying a version beyond the dancer's level are leading causes of low back pain; practise only the versions the teacher has signed off, on a mat, with an adult nearby.</t>
  </si>
  <si>
    <t xml:space="preserve">Comfortable, even back flexibility (bridge, cobra and seal stretches) without pinching in the lower back; Open hips and hip flexors (Acrobatic Arts suggests a hip flexor length check before training); Arm and shoulder strength to press the floor away (push-up and plank holds); Chest roll learned in class; Steady breathing while upside down (not holding the breath)</t>
  </si>
  <si>
    <t xml:space="preserve">Chest stand: no legs</t>
  </si>
  <si>
    <t xml:space="preserve">Not a standard term I could verify; ask the teacher. It is likely a progression from the Level 1 version in which the legs no longer rest on the floor, but I could not confirm the studio's meaning.</t>
  </si>
  <si>
    <t xml:space="preserve">1. Set up as for a basic chest stand: chest down, hands pressing beside the chest
2. Lift the legs fully off the floor so the balance is held on chest, shoulders and hands
3. Keep the legs together and squeezed, toes pointed
4. Hold for the count the teacher asks for, then lower with control</t>
  </si>
  <si>
    <t xml:space="preserve">• Swinging the legs up instead of lifting them with control
• Letting the weight drift onto the chin or neck
• Losing even arch and dumping into the lower back</t>
  </si>
  <si>
    <t xml:space="preserve">Chest stand: reverse fish</t>
  </si>
  <si>
    <t xml:space="preserve">Not a standard term I could verify; ask the teacher. I found no reliable description of a 'reverse fish' chest stand variation.</t>
  </si>
  <si>
    <t xml:space="preserve">1. Ask the teacher to show the shape; it builds on a secure chest stand
2. Work it only in the position and at the depth the teacher has taught</t>
  </si>
  <si>
    <t xml:space="preserve">• Trying it before the basic chest stand is held calmly with even arch</t>
  </si>
  <si>
    <t xml:space="preserve">Chest stand: chest cartwheel</t>
  </si>
  <si>
    <t xml:space="preserve">Not a standard term I could verify; ask the teacher. I found no reliable description of a 'chest cartwheel'; it sounds like a sideways travelling move that passes through a chest stand, but I could not confirm that.</t>
  </si>
  <si>
    <t xml:space="preserve">1. Ask the teacher to demonstrate and break it down in class
2. It needs a solid chest stand and chest roll first</t>
  </si>
  <si>
    <t xml:space="preserve">• Rushing the move before the chest stand is strong and controlled</t>
  </si>
  <si>
    <t xml:space="preserve">Valdez / floor jeté</t>
  </si>
  <si>
    <t xml:space="preserve">The basic Valdez: a seated-start back walkover that lands in a lunge. 'Floor jeté' is not a standard term I could verify; ask the teacher whether it is simply the studio's name for the Valdez.</t>
  </si>
  <si>
    <t xml:space="preserve">1. Sit with one leg straight in front and the other knee bent, foot flat near the hip
2. Place one hand on the floor behind, close to the hips and turned slightly out; the other arm reaches up and back
3. Push through the bent leg and drive the hips up toward the ceiling
4. Kick the straight leg up and over while reaching the free hand to the floor, passing through a handstand split
5. Step down one foot at a time into a lunge and stand tall</t>
  </si>
  <si>
    <t xml:space="preserve">• Supporting hand placed too far behind the hips, locking the arm
• Arching the back before lifting the hips
• Kicking with a bent leg so there is not enough momentum to go over</t>
  </si>
  <si>
    <t xml:space="preserve">There is no flight, but the dancer goes upside down through a backbend, so coaches teach it with a spot first; practise at home only on a mat with an adult nearby once the teacher says she has it.</t>
  </si>
  <si>
    <t xml:space="preserve">Secure back walkover (Acrobatic Arts lists this as the key prerequisite); Bridge kickover from the floor; Strong, straight-arm handstand; Shoulder and back flexibility; Good front splits</t>
  </si>
  <si>
    <t xml:space="preserve">Valdez / floor jeté: reverse</t>
  </si>
  <si>
    <t xml:space="preserve">Not a standard term I could verify; ask the teacher. I found no reliable description of a 'reverse Valdez'.</t>
  </si>
  <si>
    <t xml:space="preserve">1. Ask the teacher to show the direction and hand placement used for this version
2. Build it only on top of a confident basic Valdez</t>
  </si>
  <si>
    <t xml:space="preserve">• Trying it before the basic Valdez is solid on both the teacher's cues</t>
  </si>
  <si>
    <t xml:space="preserve">Valdez / floor jeté: two feet</t>
  </si>
  <si>
    <t xml:space="preserve">Not a standard term I could verify; ask the teacher. It may mean finishing the Valdez with both feet landing together instead of in a lunge, but I could not confirm this.</t>
  </si>
  <si>
    <t xml:space="preserve">1. Ask the teacher to demonstrate the finish she wants
2. It needs strong shoulders and a controlled handstand phase</t>
  </si>
  <si>
    <t xml:space="preserve">• Collapsing in the shoulders at the top</t>
  </si>
  <si>
    <t xml:space="preserve">Valdez / floor jeté: Valdez to walkover</t>
  </si>
  <si>
    <t xml:space="preserve">A Valdez linked straight into a second walkover without pausing, so the landing lunge of the Valdez becomes the start of the next skill. The linking is my reading of the chart name; ask the teacher whether the second skill is a front or back walkover.</t>
  </si>
  <si>
    <t xml:space="preserve">1. Perform a full Valdez to a strong lunge
2. Keep the arms up by the ears as the feet land
3. Flow directly into the next walkover the teacher has set
4. Finish standing tall with arms up</t>
  </si>
  <si>
    <t xml:space="preserve">• Pausing or dropping the arms between the two skills
• Landing the Valdez with the weight too far back to start the next one</t>
  </si>
  <si>
    <t xml:space="preserve">Valdez / floor jeté: reverse 1 hand</t>
  </si>
  <si>
    <t xml:space="preserve">Not a standard term I could verify; ask the teacher. It appears to be the 'reverse' version done with a single hand on the floor.</t>
  </si>
  <si>
    <t xml:space="preserve">1. Ask the teacher which hand stays down and which stays up
2. Build it only after the two-hand version is secure</t>
  </si>
  <si>
    <t xml:space="preserve">• Rushing to one hand before the shoulder is strong enough to take the weight</t>
  </si>
  <si>
    <t xml:space="preserve">Valdez / floor jeté: to handstand</t>
  </si>
  <si>
    <t xml:space="preserve">A Valdez that stops and holds in the handstand at the top instead of walking straight over. The meaning comes from the chart name; check the finish with the teacher.</t>
  </si>
  <si>
    <t xml:space="preserve">1. Start as a normal Valdez from sitting
2. Push the hips up and kick over, bringing the second hand down
3. Join the legs together in a straight handstand and hold
4. Step down with control the way the teacher shows</t>
  </si>
  <si>
    <t xml:space="preserve">• Arched back in the handstand instead of a straight line
• Bent arms at the top
• Over-kicking and falling through</t>
  </si>
  <si>
    <t xml:space="preserve">Valdez / floor jeté: switch leg</t>
  </si>
  <si>
    <t xml:space="preserve">Switch-leg walkovers, where the legs swap in the split while passing over the top, are a recognised walkover variation; I could not find a reliable source describing a switch-leg Valdez specifically, so confirm the shape with the teacher.</t>
  </si>
  <si>
    <t xml:space="preserve">1. Start as a normal Valdez
2. As the legs pass through the top, scissor them so the leading leg changes
3. Land on the opposite foot from a normal Valdez
4. Keep both legs straight through the switch</t>
  </si>
  <si>
    <t xml:space="preserve">• Switching too early or too late so the split is small
• Bent knees during the switch</t>
  </si>
  <si>
    <t xml:space="preserve">Valdez / floor jeté: reverse switch leg</t>
  </si>
  <si>
    <t xml:space="preserve">Not a standard term I could verify; ask the teacher. It appears to combine the studio's 'reverse' version with a leg switch.</t>
  </si>
  <si>
    <t xml:space="preserve">1. Ask the teacher to demonstrate
2. Needs both the reverse and the switch-leg versions secure first</t>
  </si>
  <si>
    <t xml:space="preserve">• Combining two variations before each is solid on its own</t>
  </si>
  <si>
    <t xml:space="preserve">Spider</t>
  </si>
  <si>
    <t xml:space="preserve">Spider: rainbow to bridge</t>
  </si>
  <si>
    <t xml:space="preserve">Not a standard term I could verify; ask the teacher. I found no reliable description of a 'rainbow to bridge' skill.</t>
  </si>
  <si>
    <t xml:space="preserve">1. Ask the teacher to show it; it is a Level 1 bridge-based skill that builds toward spiders</t>
  </si>
  <si>
    <t xml:space="preserve">• Bridging with bent arms or shoulders behind the hands</t>
  </si>
  <si>
    <t xml:space="preserve">There is no flight, but the dancer goes upside down through a bridge with the back arched, so learn it in class first and practise at home only on a mat with an adult nearby once the teacher says she has it.</t>
  </si>
  <si>
    <t xml:space="preserve">Strong bridge with straight arms and shoulders over the hands; Bridge kickover and front walkover; Cartwheel with straight legs; Good shoulder and back flexibility; Front and side splits</t>
  </si>
  <si>
    <t xml:space="preserve">Spider: in &amp; outs</t>
  </si>
  <si>
    <t xml:space="preserve">Not a standard term I could verify; ask the teacher. One studio tutorial teaches getting in and out of a bridge from a downward-dog shape as an early spider step, which may be related, but I could not confirm the chart's meaning.</t>
  </si>
  <si>
    <t xml:space="preserve">1. Ask the teacher to demonstrate the entry and exit she wants
2. Practise only the bridge entries and exits she has taught</t>
  </si>
  <si>
    <t xml:space="preserve">• Dropping into the bridge without control</t>
  </si>
  <si>
    <t xml:space="preserve">Spider: spiders</t>
  </si>
  <si>
    <t xml:space="preserve">A rolling tinsica: tinsica after tinsica in a continuous forward chain, each one landing in a lunge that starts the next.</t>
  </si>
  <si>
    <t xml:space="preserve">1. Start in a lunge with arms up by the ears
2. Reach forward and place the hands down one after the other, slightly turned like a cartwheel
3. Kick the legs over in a split, passing through a backbend
4. Step down one foot then the other into a lunge
5. Without stopping, reach straight into the next one</t>
  </si>
  <si>
    <t xml:space="preserve">• Hands placed side by side instead of one after the other
• Bent arms or shoulders sinking in the bridge
• Stopping between repetitions so it no longer rolls</t>
  </si>
  <si>
    <t xml:space="preserve">Spider: 1 hand spiders</t>
  </si>
  <si>
    <t xml:space="preserve">No source I found described a one-hand spider; it is presumably the rolling tinsica done with only one hand touching the floor. Ask the teacher which hand stays down.</t>
  </si>
  <si>
    <t xml:space="preserve">1. Ask the teacher to demonstrate
2. Needs a confident two-hand spider and strong shoulders first</t>
  </si>
  <si>
    <t xml:space="preserve">• Trying it before the two-hand spider is smooth and controlled</t>
  </si>
  <si>
    <t xml:space="preserve">Front tuck</t>
  </si>
  <si>
    <t xml:space="preserve">Front tuck: from running</t>
  </si>
  <si>
    <t xml:space="preserve">A front tuck done after a short run and hurdle, using the run's speed and a two-foot punch to get height. It is usually learned before the standing version.</t>
  </si>
  <si>
    <t xml:space="preserve">1. What it looks like: a short run, a hurdle, then a two-foot punch off the floor with arms driving up
2. The hips rise above the head and the knees pull to the chest in a tight tuck
3. The body rotates forward once and opens out to land on two feet with arms up
4. Parts a coach teaches: the hurdle and punch, the arm swing, the tuck timing and a safe landing, first on trampoline or into a pit</t>
  </si>
  <si>
    <t xml:space="preserve">• Throwing the head forward instead of lifting the hips
• Punching with bent knees or leaning forward so there is no height
• Opening too early and under-rotating</t>
  </si>
  <si>
    <t xml:space="preserve">This is a flip with flight and a fully inverted moment, and a poor front tuck can mean landing on the face or neck; it must only be learned and practised in class with a qualified coach spotting.</t>
  </si>
  <si>
    <t xml:space="preserve">Strong forward roll and jump to forward roll; Hurdle and punch (a two-foot rebound jump); Tight tuck shape and strong core (tuck-ups, hollow holds); Leg power (squat jumps, lunges); Coach's go-ahead after trampoline or pit work</t>
  </si>
  <si>
    <t xml:space="preserve">Front tuck: standing</t>
  </si>
  <si>
    <t xml:space="preserve">A front tuck from a standing start with no run, so all the height must come from the legs and arm swing. It is harder than the running version.</t>
  </si>
  <si>
    <t xml:space="preserve">1. What it looks like: feet together, arms swing, a powerful jump straight up
2. At the top the knees snap to the chest and the body rotates forward
3. The gymnast opens and lands on two feet
4. Parts a coach teaches: jump height, arm swing timing and the tuck, usually on trampoline and onto raised soft mats first</t>
  </si>
  <si>
    <t xml:space="preserve">• Not jumping high enough before tucking
• Diving forward instead of jumping up
• Loose tuck that slows the rotation</t>
  </si>
  <si>
    <t xml:space="preserve">Front tuck: Webster</t>
  </si>
  <si>
    <t xml:space="preserve">A Webster is a recognised gymnastics and tricking skill: a front flip taken off one leg, with the other leg swinging up behind to drive the rotation. Tricking sources note it usually lands on two feet, while a front aerial lands one foot at a time.</t>
  </si>
  <si>
    <t xml:space="preserve">1. What it looks like: a step or small run into a big jump off the front foot
2. The back leg kicks up and over, staying long, to help pull the body round
3. The hips lift, the body tucks and rotates forward with no hands
4. The gymnast lands on the balls of the feet with soft knees
5. Parts a coach teaches: the one-leg takeoff, leg swing timing and landing, on trampoline or into a pit first</t>
  </si>
  <si>
    <t xml:space="preserve">• Treating it like a two-foot front tuck and landing in a deep squat
• Bending the swinging leg so there is not enough rotation
• Ducking the head instead of lifting the hips</t>
  </si>
  <si>
    <t xml:space="preserve">Back tuck</t>
  </si>
  <si>
    <t xml:space="preserve">Back tuck: standing</t>
  </si>
  <si>
    <t xml:space="preserve">A back tuck from standing still, using only the legs and arm swing for height.</t>
  </si>
  <si>
    <t xml:space="preserve">1. What it looks like: feet together, arms swing down then up hard, a big jump straight up
2. At the top the knees pull to the chest and the body rotates backward
3. The gymnast opens out and lands on two feet with soft knees
4. Parts a coach teaches: the set (jumping up before rotating), the tuck, and landing, with spotting and drills on mats and trampoline</t>
  </si>
  <si>
    <t xml:space="preserve">• Throwing the head and shoulders back before jumping up
• Jumping backward instead of straight up
• Tucking too loosely or too early</t>
  </si>
  <si>
    <t xml:space="preserve">This is a flip with flight, and landing short can hurt the head or neck, so it must only be learned and practised in class with a qualified coach spotting; Gymnastics HQ says plainly not to attempt it without a coach.</t>
  </si>
  <si>
    <t xml:space="preserve">Strong vertical jump with arms swinging up by the ears; Tight tuck (tuck-ups, hollow and arch holds); Back handspring or confident backward rotation on trampoline (coach's call); Solid round-off for the R.O. version; Leg power (squat jumps)</t>
  </si>
  <si>
    <t xml:space="preserve">Back tuck: R.O. back tuck</t>
  </si>
  <si>
    <t xml:space="preserve">A round-off immediately followed by a back tuck, so the round-off's rebound gives the speed and height for the flip.</t>
  </si>
  <si>
    <t xml:space="preserve">1. What it looks like: a run and hurdle into a round-off that lands on two feet facing back
2. From that landing the gymnast rebounds straight up with arms by the ears
3. Knees pull in and the body rotates backward to land on the feet
4. Parts a coach teaches: a strong round-off snap-down and rebound, then the tuck, with spotting</t>
  </si>
  <si>
    <t xml:space="preserve">• Round-off landing too far back so the rebound travels instead of rising
• Dropping the chest out of the round-off
• Pulling the knees in before the body has risen</t>
  </si>
  <si>
    <t xml:space="preserve">Handspring</t>
  </si>
  <si>
    <t xml:space="preserve">Handspring: front handspring</t>
  </si>
  <si>
    <t xml:space="preserve">A forward handspring from a hurdle, pushing off both hands and landing on two feet.</t>
  </si>
  <si>
    <t xml:space="preserve">1. What it looks like: a hurdle, then the hands reach far forward to the floor with arms by the ears
2. The legs kick over fast and the shoulders push hard off the floor (the 'block')
3. The body flies over in an arch and lands on two feet, arms up
4. Parts a coach teaches: the hurdle, a straight-arm block, and the landing, first over a barrel or off a panel mat with a spot</t>
  </si>
  <si>
    <t xml:space="preserve">• Bent arms when the hands hit the floor
• Hands placed too close to the feet, so there is no reach
• Under-rotating and landing sitting down</t>
  </si>
  <si>
    <t xml:space="preserve">Handsprings have flight and a fast upside-down phase where a bent arm or poor push can land the dancer on the head or neck, so they are learned and practised only in class with a qualified coach spotting.</t>
  </si>
  <si>
    <t xml:space="preserve">Straight-arm handstand held with a tight body (Gymnastics HQ suggests a strong wall handstand); Bridge with straight arms; Back walkover or bridge kickover for the backward skills; Hurdle (for the front handspring); Shoulder and core strength (planks, hollow holds)</t>
  </si>
  <si>
    <t xml:space="preserve">Handspring: front step out</t>
  </si>
  <si>
    <t xml:space="preserve">A front handspring that lands one foot at a time in a lunge, with the legs split, instead of two feet together. It is often used to link into another skill.</t>
  </si>
  <si>
    <t xml:space="preserve">1. What it looks like: same entry as a front handspring
2. The legs stay split as they pass over
3. The first foot lands, then the second steps through into a lunge
4. Parts a coach teaches: keeping the split, and the shoulder push so the dancer can stand up</t>
  </si>
  <si>
    <t xml:space="preserve">• Legs coming together in the air
• Landing with the chest dropped
• Not enough push from the shoulders</t>
  </si>
  <si>
    <t xml:space="preserve">Handspring: back step out</t>
  </si>
  <si>
    <t xml:space="preserve">A back handspring that lands one foot at a time with legs split, rather than snapping both feet down together.</t>
  </si>
  <si>
    <t xml:space="preserve">1. What it looks like: a back handspring entry from a sit-and-swing
2. As the hands push off, the legs split and come down one after the other
3. The dancer finishes in a lunge, arms up
4. Parts a coach teaches: the back handspring first, then the split-leg finish</t>
  </si>
  <si>
    <t xml:space="preserve">• Splitting the legs too early so the rotation stalls
• Bent arms on the hand contact</t>
  </si>
  <si>
    <t xml:space="preserve">Handspring: back walkover snap down</t>
  </si>
  <si>
    <t xml:space="preserve">Not a fully standard chart term, but both parts are standard: a back walkover whose finish is a 'snap-down', where the legs come together at the top and the gymnast pushes through the shoulders to land on two feet. It is a common lead-in to the back handspring because it teaches the push and two-foot landing. Confirm the exact version with the teacher.</t>
  </si>
  <si>
    <t xml:space="preserve">1. Stand with arms up and one leg lifted, then reach back into a back walkover
2. As the legs pass over the hands, bring them together
3. Push hard through the shoulders and snap both feet down together
4. Finish standing tall with arms up</t>
  </si>
  <si>
    <t xml:space="preserve">• Bending the arms in the push
• Landing with the chest down
• Legs apart at the landing</t>
  </si>
  <si>
    <t xml:space="preserve">Handspring: back handspring</t>
  </si>
  <si>
    <t xml:space="preserve">A backward handspring: from standing, the dancer sits back, swings the arms and jumps backward onto the hands, then snaps over to land on two feet.</t>
  </si>
  <si>
    <t xml:space="preserve">1. What it looks like: a sit back as if into a chair, arms swinging
2. A jump backward and up, reaching the arms back to the floor
3. The hands land with straight arms, the legs snap over
4. The shoulders push and the feet land together
5. Parts a coach teaches: the sit, the jump, straight-arm hand contact and the snap-down, using a barrel or mat stack with a spot</t>
  </si>
  <si>
    <t xml:space="preserve">• Sitting too low or not jumping backward
• Bent arms on contact (Gymnastics HQ lists this as a key error)
• Throwing the head back too early
• Landing low with the chest forward</t>
  </si>
  <si>
    <t xml:space="preserve">Handspring: repeated</t>
  </si>
  <si>
    <t xml:space="preserve">Two or more handsprings in a row with no pause, each landing feeding the next. The chart does not say whether this means front or back handsprings; ask the teacher.</t>
  </si>
  <si>
    <t xml:space="preserve">1. What it looks like: one handspring landing straight into the next
2. Each landing must be strong and balanced to keep the rhythm
3. Parts a coach teaches: a consistent single handspring first, then linking two with a spot</t>
  </si>
  <si>
    <t xml:space="preserve">• Each handspring getting lower and shorter
• Pausing between them</t>
  </si>
  <si>
    <t xml:space="preserve">Power tumbling</t>
  </si>
  <si>
    <t xml:space="preserve">R.O. back bend kickover</t>
  </si>
  <si>
    <t xml:space="preserve">Not a standard combined term I could verify, but its parts are standard: a round-off, then lowering back into a bridge (backbend) and kicking over to stand. Confirm the exact sequence with the teacher.</t>
  </si>
  <si>
    <t xml:space="preserve">1. What it looks like: a round-off landing on two feet facing back
2. Arms reach up and back to lower into a bridge
3. One leg kicks over the top to land in a lunge
4. Parts a coach teaches: a controlled round-off landing so the dancer can arch back calmly</t>
  </si>
  <si>
    <t xml:space="preserve">• Landing the round-off off balance and falling into the bridge
• Bent arms in the bridge</t>
  </si>
  <si>
    <t xml:space="preserve">These are passes with run-up speed, flight and full flips, and mistakes land on the head, neck or back, so they are learned and practised only in class with a qualified coach spotting.</t>
  </si>
  <si>
    <t xml:space="preserve">Strong round-off with a snap-down to two feet; Bridge kickover and back walkover; Back handspring (for the handspring passes); Back tuck and front tuck (for the Arabian, layout and side flip); Straight-arm handstand, core strength and leg power</t>
  </si>
  <si>
    <t xml:space="preserve">R.O. back walkover</t>
  </si>
  <si>
    <t xml:space="preserve">A round-off linked straight into a back walkover, with no bridge pause.</t>
  </si>
  <si>
    <t xml:space="preserve">1. What it looks like: a round-off landing on two feet with arms up
2. One leg lifts and the dancer reaches back into a back walkover
3. The legs pass over in a split to land in a lunge
4. Parts a coach teaches: landing the round-off tall enough to go straight into the walkover</t>
  </si>
  <si>
    <t xml:space="preserve">• Round-off landing with the chest down
• Pausing between the two skills</t>
  </si>
  <si>
    <t xml:space="preserve">R.O. back handspring, back tuck</t>
  </si>
  <si>
    <t xml:space="preserve">A round-off, then a back handspring, then a back tuck, all linked: a full power tumbling pass.</t>
  </si>
  <si>
    <t xml:space="preserve">1. What it looks like: a round-off rebounds straight into a back handspring
2. The back handspring's snap-down rebounds up into a back tuck
3. The gymnast lands on two feet, arms up
4. Parts a coach teaches: a strong round-off back handspring first, then the rebound into the tuck with a spot</t>
  </si>
  <si>
    <t xml:space="preserve">• Back handspring landing too low or too far forward to rebound up
• Rushing the tuck before rising</t>
  </si>
  <si>
    <t xml:space="preserve">R.O. back handspring</t>
  </si>
  <si>
    <t xml:space="preserve">A round-off connected straight into a back handspring: the most common tumbling pass in gymnastics and cheer.</t>
  </si>
  <si>
    <t xml:space="preserve">1. What it looks like: a run and hurdle into a round-off that snaps down to two feet
2. The rebound carries straight back into a back handspring
3. The gymnast lands on two feet
4. Parts a coach teaches: the round-off rebound, chest and feet position at the connection, and the back handspring, using drills and a spot</t>
  </si>
  <si>
    <t xml:space="preserve">• Round-off feet landing too far under the body so there is no backward momentum
• Sitting too much in the connection
• Bent arms in the back handspring</t>
  </si>
  <si>
    <t xml:space="preserve">Arabian</t>
  </si>
  <si>
    <t xml:space="preserve">An Arabian starts going backward, like a back tuck, then makes a half turn early and finishes as a front tuck; Coach Meggin describes the round-off Arabian as a half-turn front tuck. It is an advanced gymnastics skill.</t>
  </si>
  <si>
    <t xml:space="preserve">1. What it looks like: a backward takeoff with the arms up
2. Early in the flight the body turns halfway round to face forward
3. The gymnast tucks and rotates forward, landing on two feet
4. Parts a coach teaches: the half turn first (for example round-off half turns to handstand onto mats), then adding the flip on trampoline and into the pit</t>
  </si>
  <si>
    <t xml:space="preserve">• Tucking or piking before the half turn is finished
• Not enough height at takeoff
• Turning late so the flip goes sideways</t>
  </si>
  <si>
    <t xml:space="preserve">Layout</t>
  </si>
  <si>
    <t xml:space="preserve">A back layout is a backward flip with the body held straight instead of tucked (Gymnastics HQ). It needs more height and power than a back tuck and is the shape required before twisting.</t>
  </si>
  <si>
    <t xml:space="preserve">1. What it looks like: usually from a round-off back handspring, the gymnast rises up and back
2. The body stays long and straight, arms by the ears or at the sides
3. The straight body rotates backward once and lands on two feet
4. Parts a coach teaches: a strong rebound and keeping the straight shape, with drills and a spot</t>
  </si>
  <si>
    <t xml:space="preserve">• Arching or piking instead of a straight line
• Throwing the head back
• Not enough height, so it lands short</t>
  </si>
  <si>
    <t xml:space="preserve">Side flip</t>
  </si>
  <si>
    <t xml:space="preserve">A side flip (also called a side somi) is a no-hands flip that rotates sideways, like a cartwheel in the air with the knees tucked. It is common in tricking and parkour and appears in acro dance; it differs from a side aerial, which keeps the legs straight and split.</t>
  </si>
  <si>
    <t xml:space="preserve">1. What it looks like: the gymnast stands side-on or steps in
2. A jump up and to the side with the knees pulled in
3. The body rotates sideways and lands on two feet
4. Parts a coach teaches: the takeoff, starting the sideways spin and a safe landing, on mats or trampoline first</t>
  </si>
  <si>
    <t xml:space="preserve">• Rotating forward or backward instead of truly sideways
• Not jumping high enough before tucking
• Dropping the head</t>
  </si>
  <si>
    <t xml:space="preserve">Bonus moves</t>
  </si>
  <si>
    <t xml:space="preserve">Bonus</t>
  </si>
  <si>
    <t xml:space="preserve">Handstand, 3 seconds</t>
  </si>
  <si>
    <t xml:space="preserve">A freestanding handstand held still for a count of 3: straight arms, body stacked in one straight line from hands to toes, legs together.</t>
  </si>
  <si>
    <t xml:space="preserve">1. Stand in a lunge with arms by the ears
2. Reach forward, place the hands shoulder-width apart and kick up
3. Join the legs and stack hips over shoulders over hands, squeezing the tummy and bottom
4. Push the floor away through the shoulders and balance with the fingers and palms
5. Hold for 3, then step down or cartwheel out</t>
  </si>
  <si>
    <t xml:space="preserve">• Banana back (arching) instead of a straight line
• Bent arms or shrunk-down shoulders
• Looking too far forward or tucking the head
• Kicking too hard and falling over</t>
  </si>
  <si>
    <t xml:space="preserve">Neither move has flight, but both are upside down and the chin stand puts load on the chin, neck and lower back, so learn both in class first, then practise only on a mat with an adult nearby once the teacher says she has them.</t>
  </si>
  <si>
    <t xml:space="preserve">Handstand: wall handstand with a straight, stacked line; plank and hollow holds; strong straight arms; Chin stand: secure chest stand; even back flexibility; shoulder and arm strength; Both: knowing how to come down safely (cartwheel out or step down)</t>
  </si>
  <si>
    <t xml:space="preserve">Chin stand</t>
  </si>
  <si>
    <t xml:space="preserve">A chin stand balances on the chin and chest with the hands pressing beside them, the back arched and the legs lifted up and over. Several tutorials teach it alongside the chest stand.</t>
  </si>
  <si>
    <t xml:space="preserve">1. Lie on the tummy on a soft mat with the hands beside the chest
2. Rest the chin gently on the mat
3. Press the hands into the floor and lift the hips and legs up, arching the back evenly
4. Keep the weight shared through the hands and chest, not crushed onto the chin
5. Lower the legs slowly to come out</t>
  </si>
  <si>
    <t xml:space="preserve">• Letting all the weight sit on the chin and neck
• Bending only in the lower back
• Holding the breath</t>
  </si>
  <si>
    <t xml:space="preserve">Variation movements</t>
  </si>
  <si>
    <t xml:space="preserve">Bronco</t>
  </si>
  <si>
    <t xml:space="preserve">The basic bronco: from standing, the dancer reaches to the floor, kicks the legs up over the hands, and snaps the feet back down to land on the feet again, with no flip.</t>
  </si>
  <si>
    <t xml:space="preserve">1. What it looks like: a reach forward to the floor, a kick of the legs up behind, and a quick return to the feet.
2. Coach teaches the hand placement and pushing (blocking) through straight arms and shoulders.
3. Coach teaches the kick up toward handstand while keeping the body tight.
4. Coach teaches the 'snap down': bringing the feet quickly back to the floor so the chest comes up.
5. Learned with a spotter on mats before it is ever done on the dance floor.</t>
  </si>
  <si>
    <t xml:space="preserve">• Bent or collapsing arms instead of pushing through the shoulders
• Loose body, so the legs flop instead of snapping down
• Landing with chest down and falling forward</t>
  </si>
  <si>
    <t xml:space="preserve">The bronco is inverted and has a moment of flight onto the hands and back to the feet, so it should be learned and practised with a coach spotting on proper mats.</t>
  </si>
  <si>
    <t xml:space="preserve">Solid, controlled handstand (wall-supported at least); Strong shoulders and arms to 'block' (push) through the floor; Core strength for hollow and arch body shapes; Comfortable donkey kicks</t>
  </si>
  <si>
    <t xml:space="preserve">Bronco: dive bronco</t>
  </si>
  <si>
    <t xml:space="preserve">Not a standard term I could verify; ask the teacher. I found no reliable source describing a 'dive bronco', so please have the teacher explain or show what the studio means.</t>
  </si>
  <si>
    <t xml:space="preserve">1. Ask the teacher to demonstrate the studio's version.
2. Expect it to build on a solid basic bronco, which is learned first.
3. Practise only in class with a coach spotting.</t>
  </si>
  <si>
    <t xml:space="preserve">• Trying it before the basic bronco is clean and controlled</t>
  </si>
  <si>
    <t xml:space="preserve">Bronco: twist bronco</t>
  </si>
  <si>
    <t xml:space="preserve">Not a standard term I could verify; ask the teacher. I found no reliable source describing a 'twist bronco' or 'bronco twist', so please have the teacher explain or show what the studio means.</t>
  </si>
  <si>
    <t xml:space="preserve">Leg hold</t>
  </si>
  <si>
    <t xml:space="preserve">Leg hold: heel stretch</t>
  </si>
  <si>
    <t xml:space="preserve">Standing on one leg, the dancer holds the heel of the other, straight leg up in front of her, as close to vertical as she can. It is essentially a standing front split and is the base of the other leg holds.</t>
  </si>
  <si>
    <t xml:space="preserve">1. Stand tall on the supporting leg with the knee straight.
2. Bend the working knee up and catch the heel (or inside of the foot) with the same-side hand.
3. Straighten the leg up in front, pulling it toward the shoulder.
4. Keep hips square, chest lifted and the free arm out for balance.
5. Hold, then lower the leg with control.</t>
  </si>
  <si>
    <t xml:space="preserve">• Bent supporting knee or bent lifted knee
• Leaning back or hunching forward to make the leg look higher
• Hips twisting open instead of staying square</t>
  </si>
  <si>
    <t xml:space="preserve">These are standing stretches and balances with no flight, so they are fine at home after a warm-up, as long as she only practises the shapes her teacher has given her and never forces her back or hips into pain.</t>
  </si>
  <si>
    <t xml:space="preserve">Front splits (both sides) for heel stretch and bow and arrow; Good balance on one leg with a straight supporting knee; Hip-flexor and quad flexibility, plus a comfortable bridge, for scorpion and needle; Shoulder flexibility to reach back overhead (scorpion, needle)</t>
  </si>
  <si>
    <t xml:space="preserve">Leg hold: bow &amp; arrow</t>
  </si>
  <si>
    <t xml:space="preserve">A standing split where the lifted leg is held by the opposite hand, so the arm crosses in front of the face and the free arm reaches out the other way, making the shape of a bow being drawn. It is also a well-known cheer stunt position.</t>
  </si>
  <si>
    <t xml:space="preserve">1. Start in a heel stretch with the leg up.
2. Pass the leg to the opposite hand, which crosses in front of the body to hold the heel or ankle.
3. Bring the head through so the leg is beside the face.
4. Reach the free arm long in the other direction, like the arrow.
5. Stand tall on a straight supporting leg and hold.</t>
  </si>
  <si>
    <t xml:space="preserve">• Lifted leg drifts forward instead of staying close to the body
• Bent knees
• Free arm droops, losing the 'arrow' line</t>
  </si>
  <si>
    <t xml:space="preserve">Leg hold: needle</t>
  </si>
  <si>
    <t xml:space="preserve">In most tutorials the needle is a straight-leg scorpion: the back leg is held fully straight, pointing straight up behind and over the head with both hands. Some dance teachers also use 'needle' for a standing split folded forward with the back leg straight up, so check which shape the studio means.</t>
  </si>
  <si>
    <t xml:space="preserve">1. Warm up hips, legs and back first; it needs full splits and a good backbend.
2. Standing on one leg, reach back and catch the back foot.
3. Bring both hands overhead to hold the foot.
4. Straighten the back leg up toward vertical while the chest stays lifted.
5. Hold briefly, then release with control.</t>
  </si>
  <si>
    <t xml:space="preserve">• Forcing the lower back instead of lifting through the chest and hips
• Back knee stays bent
• Supporting leg bends</t>
  </si>
  <si>
    <t xml:space="preserve">Leg hold: half scorpion</t>
  </si>
  <si>
    <t xml:space="preserve">Not a standard term I could verify; ask the teacher. It is probably an easier stage of the scorpion, with the back foot caught behind but not yet pulled up beside the head, but please confirm with the teacher.</t>
  </si>
  <si>
    <t xml:space="preserve">1. Ask the teacher to show the studio's version.
2. Warm up hips and legs first.
3. Catch the back foot behind with one hand while standing tall.
4. Only lift as far as is comfortable; never force it.</t>
  </si>
  <si>
    <t xml:space="preserve">• Leaning far forward to make up for flexibility
• Bent supporting knee</t>
  </si>
  <si>
    <t xml:space="preserve">Leg hold: scorpion</t>
  </si>
  <si>
    <t xml:space="preserve">Standing on one leg, the dancer bends the back leg and pulls the foot up behind and over her head with one or both hands, so the body looks like a scorpion's curled tail. It needs deep hip-flexor and back flexibility.</t>
  </si>
  <si>
    <t xml:space="preserve">1. Warm up thoroughly, then stand tall on one leg.
2. Bend the back knee and catch the foot with the same-side hand.
3. Rotate the elbow up so the hand and foot travel up behind the head.
4. Bring the second hand up to help if needed, pulling the foot toward the head.
5. Keep the chest lifted and the supporting leg straight; a strap can help close the gap while learning.</t>
  </si>
  <si>
    <t xml:space="preserve">• Dropping the chest forward instead of lifting it
• Forcing the lower back or shoulders
• Supporting knee bending</t>
  </si>
  <si>
    <t xml:space="preserve">Freeze</t>
  </si>
  <si>
    <t xml:space="preserve">Freeze: turtle</t>
  </si>
  <si>
    <t xml:space="preserve">Both arms are bent in front of the body with the elbows pressed into the stomach area, all the weight is on the hands, and the rest of the body is held off the floor, rounded like a turtle's shell.</t>
  </si>
  <si>
    <t xml:space="preserve">1. Squat down and place both hands flat on the floor, fingers spread.
2. Bend the elbows and press them into the stomach or just above the hips.
3. Lean forward onto the hands and bring the knees close to the elbows.
4. Lift the feet off the floor and hold the rounded shape.
5. Look slightly forward and keep the core tight.</t>
  </si>
  <si>
    <t xml:space="preserve">• Elbows sliding off the stomach
• Not leaning forward enough, so the feet won't lift
• Skipping the wrist warm-up</t>
  </si>
  <si>
    <t xml:space="preserve">Static floor freezes like turtle, baby, chair and shoulder freeze can be practised on a proper mat with an adult nearby once the teacher says she has them, but the drop to stab, shoulder sweep and shoulder spin put load on the head and shoulders with momentum and stay class-only.</t>
  </si>
  <si>
    <t xml:space="preserve">Wrist strength and wrist warm-up; Shoulder, arm and core strength (frog stand / crow-type balances); Learning safe hand and elbow placement (the 'stab'); Comfortable rolling and getting down to the floor with control</t>
  </si>
  <si>
    <t xml:space="preserve">Freeze: stab</t>
  </si>
  <si>
    <t xml:space="preserve">In breaking, a 'stab' is the technique of pressing the elbow firmly into the hip bone or tensed stomach muscle, with the hand on the floor and the forearm upright, so the body can balance on it. A stab freeze is a hold built on that elbow shelf; ask the teacher which exact shape the studio uses.</t>
  </si>
  <si>
    <t xml:space="preserve">1. Place the hand on the floor with the forearm straight up and down.
2. Press the elbow into the hip bone or firm side of the stomach.
3. Tip the body weight onto that hand so it balances on both sides of the elbow.
4. Lift the legs off the floor and hold.</t>
  </si>
  <si>
    <t xml:space="preserve">• Forearm tilted instead of vertical, so the arm collapses
• Elbow on soft tissue instead of a firm point
• Holding the breath and tensing the neck</t>
  </si>
  <si>
    <t xml:space="preserve">Freeze: baby &gt; chair</t>
  </si>
  <si>
    <t xml:space="preserve">Reads as a transition: holding a baby freeze, then moving smoothly into a chair freeze without stopping. Linking freezes like this is a standard breaking skill.</t>
  </si>
  <si>
    <t xml:space="preserve">1. Hold a clean baby freeze.
2. Shift weight and adjust the stabbed elbow and head position.
3. Bring the legs around into the chair shape (one leg down, the other crossed or bent).
4. Settle and hold the chair freeze.
5. Practise on both sides.</t>
  </si>
  <si>
    <t xml:space="preserve">• Putting the feet down between the freezes
• Rushing the change and losing the elbow stab
• Only practising one side</t>
  </si>
  <si>
    <t xml:space="preserve">Freeze: drop to stab</t>
  </si>
  <si>
    <t xml:space="preserve">Most likely a drop from standing straight into the stab freeze. The exact entry isn't something I could verify, so confirm with the teacher; because it lands with momentum, it is class-only.</t>
  </si>
  <si>
    <t xml:space="preserve">1. What it looks like: a fast drop from standing that lands directly in the stab freeze.
2. Coach teaches the stab freeze first until it is solid.
3. Coach then teaches a controlled lowering, speeding up only as control improves.
4. Practised in class on mats with a coach.</t>
  </si>
  <si>
    <t xml:space="preserve">• Landing on the head or a bent wrist
• Trying the drop before the static stab is strong</t>
  </si>
  <si>
    <t xml:space="preserve">Freeze: baby freeze</t>
  </si>
  <si>
    <t xml:space="preserve">Usually the first freeze teachers give beginners. The dancer balances sideways on the hands with one elbow stabbed into the side of the stomach, the knee resting on the other elbow, and the head lightly touching the floor.</t>
  </si>
  <si>
    <t xml:space="preserve">1. Kneel and place both hands on the floor, shoulder-width apart.
2. Press one elbow into the side of the stomach or hip.
3. Rest the opposite knee on the back of the other elbow.
4. Tip forward until the head touches lightly and the feet come up.
5. Hold, then lower the feet with control; practise both sides.</t>
  </si>
  <si>
    <t xml:space="preserve">• Putting too much weight on the head instead of the hands
• Elbow stab sliding off
• Knee not resting securely on the elbow</t>
  </si>
  <si>
    <t xml:space="preserve">Freeze: chair freeze</t>
  </si>
  <si>
    <t xml:space="preserve">A freeze supported by one hand, one foot and the head, with the elbow of the supporting arm stabbed into the side of the waist or lower back. The body looks like it is sitting on an invisible chair tipped on its side. It was developed by Robbie Rob around 1976.</t>
  </si>
  <si>
    <t xml:space="preserve">1. Start sitting or kneeling to one side with one hand on the floor behind.
2. Bend that elbow and press it into the side of the waist or lower back.
3. Lean back so the head lightly touches the floor.
4. Keep one foot on the floor and cross or bend the other leg over it.
5. Hold the shape, then come out with control.</t>
  </si>
  <si>
    <t xml:space="preserve">• Elbow not pressed into the waist, so the arm collapses
• Too much weight on the head
• Hips sagging toward the floor</t>
  </si>
  <si>
    <t xml:space="preserve">Freeze: shoulder stand (with feet)</t>
  </si>
  <si>
    <t xml:space="preserve">Most likely the breaking shoulder freeze, a balance on one shoulder and the side of the head with the arms helping and the legs lifted; it relies more on balance than strength. What 'with feet' means at this studio is not a standard term I could verify; ask the teacher (it may mean a feet-supported version).</t>
  </si>
  <si>
    <t xml:space="preserve">1. Lie on the back and roll onto one shoulder, with the head turned to the side.
2. Place the hands on the floor to steady the balance.
3. Lift the hips up over the shoulder.
4. Use the feet as directed by the teacher while finding the balance.
5. Come down by rolling back the way she went up.</t>
  </si>
  <si>
    <t xml:space="preserve">• Weight on the neck instead of the shoulder
• Hips not stacked over the shoulder
• Rushing up without control</t>
  </si>
  <si>
    <t xml:space="preserve">Freeze: shoulder stand (no feet)</t>
  </si>
  <si>
    <t xml:space="preserve">Most likely the full shoulder freeze held with both legs off the floor. The 'no feet' name is studio wording I could not verify; ask the teacher to confirm.</t>
  </si>
  <si>
    <t xml:space="preserve">1. Get into the shoulder balance as above.
2. Stack hips over the supporting shoulder.
3. Lift both legs and hold a still shape.
4. Roll down with control.</t>
  </si>
  <si>
    <t xml:space="preserve">• Weight drifting onto the neck
• Legs swinging so the balance tips over</t>
  </si>
  <si>
    <t xml:space="preserve">Freeze: freeze mid-roll</t>
  </si>
  <si>
    <t xml:space="preserve">Not a standard term I could verify; ask the teacher. The name suggests stopping in a freeze partway through a roll, but I found no reliable description.</t>
  </si>
  <si>
    <t xml:space="preserve">1. Ask the teacher to show the studio's version.
2. Expect it to need solid rolls and solid static freezes first.
3. Practise in class until the teacher says otherwise.</t>
  </si>
  <si>
    <t xml:space="preserve">• Trying it before the basic freezes are steady</t>
  </si>
  <si>
    <t xml:space="preserve">Freeze: shoulder sweep / cartwheel</t>
  </si>
  <si>
    <t xml:space="preserve">Not a standard term I could verify; ask the teacher. I found no reliable description of a 'shoulder sweep' or 'shoulder cartwheel' entry (only tutorials for a front sweep into baby freeze).</t>
  </si>
  <si>
    <t xml:space="preserve">1. Ask the teacher to show the studio's version.
2. Learned in class with a coach, because it moves across the shoulders with momentum.</t>
  </si>
  <si>
    <t xml:space="preserve">• Loading the neck instead of the shoulder</t>
  </si>
  <si>
    <t xml:space="preserve">Freeze: shoulder spin</t>
  </si>
  <si>
    <t xml:space="preserve">A breaking ground move where the dancer spins on one shoulder (with the head on the floor) and legs spread in the air. Red Bull's guide recommends having the headmill and shoulder freeze solid first.</t>
  </si>
  <si>
    <t xml:space="preserve">1. What it looks like: a spin around on the shoulder with legs spread wide in the air.
2. Coach teaches the starting position: head and one shoulder on the floor, legs up, entered with momentum.
3. Coach teaches tilting the hips to start the twist while the arm stays loose.
4. Coach teaches tightening and pumping the legs to keep the spin going.
5. Class-only, because it loads the head and shoulder while spinning.</t>
  </si>
  <si>
    <t xml:space="preserve">• Weight on the neck instead of the shoulder
• Trying it before the shoulder freeze is solid
• Legs loose so the spin dies</t>
  </si>
  <si>
    <t xml:space="preserve">Freeze: side stab</t>
  </si>
  <si>
    <t xml:space="preserve">Most likely a stab freeze held sideways, with the elbow pressed into the side of the hip and the body balanced out to the side. This exact name isn't a standard term I could verify; ask the teacher.</t>
  </si>
  <si>
    <t xml:space="preserve">1. Hand flat on the floor, forearm upright.
2. Press the elbow into the side of the hip.
3. Tip sideways onto that arm.
4. Lift the legs and hold, practising both sides.</t>
  </si>
  <si>
    <t xml:space="preserve">• Forearm leaning instead of vertical
• Elbow slipping off the hip</t>
  </si>
  <si>
    <t xml:space="preserve">Backspin</t>
  </si>
  <si>
    <t xml:space="preserve">Backspin: from seated</t>
  </si>
  <si>
    <t xml:space="preserve">The basic backspin, started from sitting on the floor, which is the easiest way to learn the motion and build spin speed.</t>
  </si>
  <si>
    <t xml:space="preserve">1. Sit on the floor with knees bent.
2. Lean back onto the upper back with the chin tucked.
3. Swing or wind the legs across the body to create momentum.
4. Push off with the hands to start the turn.
5. Pull the knees into a tight tuck to spin faster.</t>
  </si>
  <si>
    <t xml:space="preserve">• Head not tucked, risking a bump
• Spinning on the lower back instead of the upper back
• Legs staying wide, which slows the spin</t>
  </si>
  <si>
    <t xml:space="preserve">A backspin stays low and doesn't go upside down, but the chin must be tucked so the head doesn't hit the floor, so practise on a smooth mat or floor with an adult nearby once the teacher has taught it; the drop from standing should be learned in class first.</t>
  </si>
  <si>
    <t xml:space="preserve">Comfortable rocking and rolling on the upper back with the chin tucked; Core strength to hold a tight tuck; A smooth floor (a slippery jacket helps reduce friction)</t>
  </si>
  <si>
    <t xml:space="preserve">Backspin: from standing</t>
  </si>
  <si>
    <t xml:space="preserve">The same spin, entered by going down from standing (often out of top rock or footwork) instead of starting from a seated position.</t>
  </si>
  <si>
    <t xml:space="preserve">1. Coach teaches a controlled sit-down from standing first.
2. Carry the momentum from the step down into the roll onto the upper back.
3. Use the leg swing to keep the turn going.
4. Tuck tight to spin.
5. Learn the entry in class before practising it at home.</t>
  </si>
  <si>
    <t xml:space="preserve">• Dropping hard onto the tailbone or back
• Losing the momentum at the moment of sitting
• Forgetting the chin tuck</t>
  </si>
  <si>
    <t xml:space="preserve">Backspin: no hands</t>
  </si>
  <si>
    <t xml:space="preserve">A backspin where the hands don't push off the floor, so all the momentum has to come from the legs' wind-up and a tight tuck.</t>
  </si>
  <si>
    <t xml:space="preserve">1. Start as in a regular backspin.
2. Create momentum by winding the legs only.
3. Keep the hands off the floor (held in, or holding the knees).
4. Pull into a tight tuck to keep spinning.</t>
  </si>
  <si>
    <t xml:space="preserve">• Sneaking a hand push
• Not enough leg swing to start the turn
• Head lifting or dropping back</t>
  </si>
  <si>
    <t xml:space="preserve">540</t>
  </si>
  <si>
    <t xml:space="preserve">540: barrel</t>
  </si>
  <si>
    <t xml:space="preserve">Not a standard term I could verify; ask the teacher. In tricking, a "barrel roll" usually names a low, flat spinning jump where the body turns sideways like a rolling barrel, but I could not confirm how this studio uses the word inside the 540 family.</t>
  </si>
  <si>
    <t xml:space="preserve">1. Ask the teacher to show this version in class and name the parts she coaches.
2. Watch where the hands, feet and head go, and which way the body turns.
3. Practise only the pieces the teacher gives as drills, in class.</t>
  </si>
  <si>
    <t xml:space="preserve">• Throwing the head back instead of keeping the eyes level
• Landing on straight legs</t>
  </si>
  <si>
    <t xml:space="preserve">The 540 combines a full spin with flight and a one-leg landing, so knees and ankles are at risk without a coach and a sprung floor or mat.</t>
  </si>
  <si>
    <t xml:space="preserve">Strong, controlled turns and spotting the head; A clean tornado / round kick from standing; Good jump height off one leg; Hip and hamstring flexibility for a high kick; Safe landings with soft, bent knees</t>
  </si>
  <si>
    <t xml:space="preserve">540: ninja / rotating hitch kick</t>
  </si>
  <si>
    <t xml:space="preserve">A hitch kick is a jump where the legs switch (scissor) in the air; a rotating hitch kick adds a spin, which is essentially the leg action of a 540. "Ninja" is not a standard name I could verify; ask the teacher what she means by it.</t>
  </si>
  <si>
    <t xml:space="preserve">1. Wind up with the shoulders, then step and turn to face away from the direction of travel
2. Drive the first knee up as the body turns
3. Switch legs in the air (the hitch) so the jumping leg becomes the kicking leg
4. Keep the eyes and chest level and spot the landing
5. Land softly on the kicking leg with a bent knee</t>
  </si>
  <si>
    <t xml:space="preserve">• Leaning far back so the spin travels instead of turning on the spot
• Switching legs too late, so the kick happens after landing
• Landing on a locked knee</t>
  </si>
  <si>
    <t xml:space="preserve">The full 540 kick: a high, clean spinning jump with a strong kick at the top and a controlled landing on the kicking leg.</t>
  </si>
  <si>
    <t xml:space="preserve">1. Step in on a turn so the back faces the direction of the kick
2. Swing the arms and drive the first knee high to lift off
3. Turn the head and shoulders first; hips follow
4. Switch legs at the top and whip the kick (round kick shape) with the jumping leg
5. Land on the kicking leg, knee bent, and hold balance</t>
  </si>
  <si>
    <t xml:space="preserve">• Not enough height, so the kick and the landing blur together
• Opening the shoulders too early and losing the spin
• Over-rotating and landing off balance</t>
  </si>
  <si>
    <t xml:space="preserve">Butterfly</t>
  </si>
  <si>
    <t xml:space="preserve">Butterfly: flying squirrel</t>
  </si>
  <si>
    <t xml:space="preserve">• Practising it before the teacher has shown the safe version</t>
  </si>
  <si>
    <t xml:space="preserve">These are spinning jumps with the body flat in the air and, for the B-twist, a full twist, so they need a coach and mats.</t>
  </si>
  <si>
    <t xml:space="preserve">A strong cartwheel; Leg swings / kicks with good hip flexibility; Core strength to keep the chest down; Soft one-leg landings</t>
  </si>
  <si>
    <t xml:space="preserve">Butterfly: butterfly (parallel to floor)</t>
  </si>
  <si>
    <t xml:space="preserve">The standard butterfly kick, where the goal is a flat body line in the air, parallel to the floor, with both legs passing high above.</t>
  </si>
  <si>
    <t xml:space="preserve">1. Start in a wide lunge and swing the arms down and across in a half circle
2. Bend forward at the hips so the chest goes down toward the floor
3. Kick the back leg up and around, then push off the front leg so it follows
4. Keep the chest low and the legs straight and wide at the top
5. Land on the first leg, then the second, and come up</t>
  </si>
  <si>
    <t xml:space="preserve">• Lifting the chest too early, so the body tilts like a cartwheel
• Bent knees and low legs
• Losing the down-swing "dip" before take-off</t>
  </si>
  <si>
    <t xml:space="preserve">Butterfly: B-twist</t>
  </si>
  <si>
    <t xml:space="preserve">A butterfly twist (B-twist) is a butterfly kick with a full 360-degree twist added once the dancer is in the air; it is very popular in tricking for its floating, twisting look.</t>
  </si>
  <si>
    <t xml:space="preserve">1. Set up exactly like a butterfly kick with the dip and arm swing
2. Leave the floor with a strong, flat butterfly shape
3. The coach teaches pulling the arms in and the legs together to start the twist
4. Complete the twist and spot the floor
5. Land on one leg, then the other, with soft knees</t>
  </si>
  <si>
    <t xml:space="preserve">• Starting the twist before the body is in the air
• Losing the dip on the approach
• Landing on straight legs</t>
  </si>
  <si>
    <t xml:space="preserve">Machine</t>
  </si>
  <si>
    <t xml:space="preserve">Machine: 2 in a row</t>
  </si>
  <si>
    <t xml:space="preserve">Not a standard term I could verify; ask the teacher. The name suggests doing the move twice back to back.</t>
  </si>
  <si>
    <t xml:space="preserve">• Practising it at home before the teacher has explained it</t>
  </si>
  <si>
    <t xml:space="preserve">Because the move could not be identified, treat it as class-only until the teacher explains it.</t>
  </si>
  <si>
    <t xml:space="preserve">Ask the teacher; likely the strength and control needed for other power moves (freezes, swipes)</t>
  </si>
  <si>
    <t xml:space="preserve">Machine: nonstop</t>
  </si>
  <si>
    <t xml:space="preserve">Not a standard term I could verify; ask the teacher. The name suggests linking the move continuously without stopping.</t>
  </si>
  <si>
    <t xml:space="preserve">Swipe</t>
  </si>
  <si>
    <t xml:space="preserve">Swipe: coffee grinder</t>
  </si>
  <si>
    <t xml:space="preserve">The coffee grinder (also called helicopter or propeller) is a low floor spin: crouched near the ground, the dancer sweeps one straight leg around in a circle, lifting each hand briefly to let the leg pass.</t>
  </si>
  <si>
    <t xml:space="preserve">1. Crouch low on one bent leg with both hands on the floor
2. Stretch the other leg out straight to the side
3. Sweep the straight leg around in a circle in front
4. Lift each hand as the leg passes under it, then put it back down
5. Hop the bent leg over the sweeping leg as it comes round the back</t>
  </si>
  <si>
    <t xml:space="preserve">• Sitting back so the sweeping leg has no room
• Lifting both hands at once and losing balance
• Bending the sweeping leg</t>
  </si>
  <si>
    <t xml:space="preserve">Full swipes and air swipes whip the body through a bridge with the wrists and lower back loaded and brief flight, so they need a coach; the coffee grinder itself is low and simple.</t>
  </si>
  <si>
    <t xml:space="preserve">Warm, strong wrists; Bridge from the floor; Core strength (planks and side planks); Basic footwork such as 6-step</t>
  </si>
  <si>
    <t xml:space="preserve">Swipe: swipe</t>
  </si>
  <si>
    <t xml:space="preserve">The basic swipe: the torso turns 180 degrees first, then the legs whip round 180 degrees from the hips, so the dancer flips between a face-down and face-up position; it can be repeated for multiple swipes.</t>
  </si>
  <si>
    <t xml:space="preserve">1. Start crouched with both hands down on one side
2. Turn the chest and arms toward the ceiling first (torso leads)
3. Whip the legs round from the hips to follow, passing through a quick bridge shape
4. Land on the feet facing the other way
5. Repeat in the same direction for more swipes</t>
  </si>
  <si>
    <t xml:space="preserve">• Turning legs and torso at the same time so the move stalls
• Weak wrists or arms collapsing
• Low hips that drag on the floor</t>
  </si>
  <si>
    <t xml:space="preserve">Swipe: airswipe</t>
  </si>
  <si>
    <t xml:space="preserve">An advanced swipe in which the body is more airborne. Wikipedia lists a "DOHC" air swipe that is similar to a baby swipe, uses momentum from an air flare and keeps both legs tight together to rotate faster; I could not confirm which version the studio means, so check with the teacher.</t>
  </si>
  <si>
    <t xml:space="preserve">1. The coach teaches this only after strong, repeatable swipes
2. More of the push comes from the arms and shoulders to lift the body
3. Legs are kept together and tight for a faster turn
4. Landing back on the feet under control</t>
  </si>
  <si>
    <t xml:space="preserve">• Trying it before basic swipes are solid
• Letting the legs split apart and slow the rotation</t>
  </si>
  <si>
    <t xml:space="preserve">Swipe: swipe roll</t>
  </si>
  <si>
    <t xml:space="preserve">• Practising it before the teacher has explained it</t>
  </si>
  <si>
    <t xml:space="preserve">Dead leg / knee drop</t>
  </si>
  <si>
    <t xml:space="preserve">Dead leg / knee drop: side drop</t>
  </si>
  <si>
    <t xml:space="preserve">Not a standard term I could verify; ask the teacher. Searches for a breaking or dance "side drop" found nothing reliable.</t>
  </si>
  <si>
    <t xml:space="preserve">• Landing on the side of the knee or hip without control</t>
  </si>
  <si>
    <t xml:space="preserve">Drops done wrong land on the kneecaps or wrists, and some variations here could not be verified, so learn them in class on a mat first.</t>
  </si>
  <si>
    <t xml:space="preserve">Strong legs and a controlled squat/lunge; Wrist strength for catching on the hands; Body awareness to land on feet and hands, never kneecaps</t>
  </si>
  <si>
    <t xml:space="preserve">Dead leg / knee drop: butterfly drop</t>
  </si>
  <si>
    <t xml:space="preserve">Not a standard term I could verify; ask the teacher. (There is a dance "knee drop jump" sometimes called a butterfly jump, but I could not confirm it is the same move.)</t>
  </si>
  <si>
    <t xml:space="preserve">Dead leg / knee drop: twist drop</t>
  </si>
  <si>
    <t xml:space="preserve">Not a standard term I could verify; ask the teacher. A similar breaking drop is the corkscrew, where one leg twists over the other and the dancer sits down onto the hands, but I could not confirm it is the same move.</t>
  </si>
  <si>
    <t xml:space="preserve">• Twisting the knee while it is loaded</t>
  </si>
  <si>
    <t xml:space="preserve">Rubberband</t>
  </si>
  <si>
    <t xml:space="preserve">Rubberband: one</t>
  </si>
  <si>
    <t xml:space="preserve">A single kip-up (kick-up): from lying or rolling onto the upper back, the dancer snaps the legs and pushes with the hands to land on her feet.</t>
  </si>
  <si>
    <t xml:space="preserve">1. Rock back so the knees come toward the chest and the weight is on the upper back
2. Hands are placed by the ears, fingers toward the shoulders
3. Kick the legs up and forward hard while pushing with the hands
4. Arch the back and bring the feet under the hips
5. Land in a squat on both feet</t>
  </si>
  <si>
    <t xml:space="preserve">• Kicking forward instead of up, so the hips never lift
• Pushing off the head or neck
• Feet landing too far forward</t>
  </si>
  <si>
    <t xml:space="preserve">Kip-ups load the upper back and neck and involve a snap off the floor, so they are taught with a coach on a mat.</t>
  </si>
  <si>
    <t xml:space="preserve">A solid single kip-up taught by the coach; Back roll and bridge strength; Core strength (V-ups, hollow holds); Neck-safe hand placement by the ears</t>
  </si>
  <si>
    <t xml:space="preserve">Rubberband: repeated</t>
  </si>
  <si>
    <t xml:space="preserve">Continuous kip-ups linked one after another without stopping: as she lands, the dancer sits and rolls straight back into the next one.</t>
  </si>
  <si>
    <t xml:space="preserve">1. Land the first kip-up in a low squat
2. Sit back straight away and roll onto the upper back
3. Use the roll's momentum for the next kick-up
4. Keep a steady rhythm for each repeat</t>
  </si>
  <si>
    <t xml:space="preserve">• Standing up fully between reps and losing momentum
• Getting tired and dropping onto the neck</t>
  </si>
  <si>
    <t xml:space="preserve">1990 (handspin)</t>
  </si>
  <si>
    <t xml:space="preserve">1990 (handspin): rotating handstands</t>
  </si>
  <si>
    <t xml:space="preserve">A step toward the 1990: turning around in a handstand by walking or pivoting the hands, so the body rotates while staying upside down.</t>
  </si>
  <si>
    <t xml:space="preserve">1. Kick up to a straight handstand
2. Shift weight onto one hand
3. Move the other hand a little round in the turning direction
4. Repeat to turn in a circle
5. Step or cartwheel down safely</t>
  </si>
  <si>
    <t xml:space="preserve">• Bent arms
• Banana back (arched) instead of straight body
• Looking around instead of between the hands</t>
  </si>
  <si>
    <t xml:space="preserve">It is an inverted spin on one arm, so wrists, shoulders and the head are at risk in a fall; learn it with a coach.</t>
  </si>
  <si>
    <t xml:space="preserve">A steady handstand; Strong shoulders and wrists; One-arm handstand balance work; Ability to come down safely from a handstand</t>
  </si>
  <si>
    <t xml:space="preserve">1990 (handspin): spin</t>
  </si>
  <si>
    <t xml:space="preserve">The real 1990: one full or more spins on one hand in a handstand, using a wind-up to create the rotation.</t>
  </si>
  <si>
    <t xml:space="preserve">1. The coach teaches a wind-up with the free hand and legs
2. Kick up onto one straight arm
3. Pull the body tight and straight to spin faster
4. Stay stacked over the hand
5. Come down to the feet under control</t>
  </si>
  <si>
    <t xml:space="preserve">• Arm not straight under the shoulder
• Body loose so the spin stalls
• Falling out without a safe exit</t>
  </si>
  <si>
    <t xml:space="preserve">Windmill</t>
  </si>
  <si>
    <t xml:space="preserve">Windmill: coin drop</t>
  </si>
  <si>
    <t xml:space="preserve">The coin drop is a fast drop from standing into a back spin or, more often, into windmills: the weight shifts from one leg to the other and onto one hand as the dancer spins down to the floor.</t>
  </si>
  <si>
    <t xml:space="preserve">1. Stand and swing one leg around to start a turn
2. Place one hand on the floor as the body goes down
3. Shift weight from leg to leg to hand
4. Roll onto the upper back with the legs swinging round
5. Carry the spin into a back spin or a windmill</t>
  </si>
  <si>
    <t xml:space="preserve">• Dropping straight onto the back or head
• Legs not swinging wide enough to keep momentum
• Losing the hand placement</t>
  </si>
  <si>
    <t xml:space="preserve">Windmills roll across the shoulders and near the head and neck, so they need mats and a coach.</t>
  </si>
  <si>
    <t xml:space="preserve">6-step footwork; Basic freezes (baby freeze, chair freeze); Some side-split flexibility; Strong wrists and core; Back spins</t>
  </si>
  <si>
    <t xml:space="preserve">Windmill: stab to mill</t>
  </si>
  <si>
    <t xml:space="preserve">A stabbed windmill: one elbow is pressed ("stabbed") into the stomach/hip to hold the body up, which keeps the hips high and builds momentum, especially on the first rotation.</t>
  </si>
  <si>
    <t xml:space="preserve">1. Set the stab: hand on the floor, elbow pressed into the side of the stomach
2. Start from a freeze with the legs ready
3. Scissor the legs round wide
4. Roll from the stab across the upper back and shoulders
5. Come back onto the stab for the next turn</t>
  </si>
  <si>
    <t xml:space="preserve">• Hips dropping so the move stalls
• Rolling onto the neck instead of the upper back
• Legs closed instead of a wide V</t>
  </si>
  <si>
    <t xml:space="preserve">Windmill: repeated</t>
  </si>
  <si>
    <t xml:space="preserve">Several windmills in a row without stopping, keeping the same rhythm and leg speed each turn.</t>
  </si>
  <si>
    <t xml:space="preserve">1. Begin with a coin drop or from a stab
2. Keep the legs wide and whipping round
3. Roll across the chest, shoulders and back each turn
4. Push back up through the hands to start the next rotation
5. Exit to a freeze or stand-up</t>
  </si>
  <si>
    <t xml:space="preserve">• Legs slowing on each turn
• Body travelling across the floor instead of staying centred
• Feet dropping instead of staying over the body</t>
  </si>
  <si>
    <t xml:space="preserve">Handspin</t>
  </si>
  <si>
    <t xml:space="preserve">Handspin: in stab</t>
  </si>
  <si>
    <t xml:space="preserve">A handspin where the spinning arm's elbow is stabbed into the body. Tutorials say to place the elbow low, near the pelvis, not high. I could not confirm the exact difference the studio makes between "in stab" and "side stab"; ask the teacher.</t>
  </si>
  <si>
    <t xml:space="preserve">1. Get the basic stall first: balanced on one hand with the elbow in the body
2. Place the elbow low near the pelvis
3. Keep the body straight from the head down
4. Wind up and push off with the toes and free hand
5. Spin, using the free hand as a crutch to add energy</t>
  </si>
  <si>
    <t xml:space="preserve">• Elbow too high on the stomach
• Body bent so the feet touch the floor
• Wrist not warmed up</t>
  </si>
  <si>
    <t xml:space="preserve">It stays low to the floor and is not inverted, but it loads one wrist heavily, so do it only on a mat with an adult nearby once the teacher says she has it.</t>
  </si>
  <si>
    <t xml:space="preserve">Turtle freeze / elbow freeze (stall); Wrist strength; A straight body line from the head down; Balance on one hand</t>
  </si>
  <si>
    <t xml:space="preserve">Handspin: side stab</t>
  </si>
  <si>
    <t xml:space="preserve">Not a standard term I could verify; ask the teacher. It is likely a handspin with the stab placed differently on the body, but the exact meaning could not be confirmed.</t>
  </si>
  <si>
    <t xml:space="preserve">Partner moves</t>
  </si>
  <si>
    <t xml:space="preserve">Rolo</t>
  </si>
  <si>
    <t xml:space="preserve">Rolo: 2 in a row</t>
  </si>
  <si>
    <t xml:space="preserve">Not a standard term I could verify; ask the teacher. If it is the partner double roll, this is two rolls in a row, where each partner has one turn going over.</t>
  </si>
  <si>
    <t xml:space="preserve">1. If it is the double roll: one partner lies on her back with legs raised. The other stands at her head and faces her feet.
2. Each partner holds the other's ankles. The standing partner's feet sit beside the lying partner's head.
3. The top partner tucks her chin and rolls forward, taking her partner's ankles with her. That pulls the bottom partner up to standing.
4. Now they have swapped places, and the second roll goes the same way.
5. A coach checks the grips and the timing first. One school sports unit also adds a wrist-to-wrist grip as an extra help.</t>
  </si>
  <si>
    <t xml:space="preserve">• Not tucking the chin, which puts weight on the head
• Letting go of the ankles partway through
• The bottom partner not bending her knees to help, so she gets dragged</t>
  </si>
  <si>
    <t xml:space="preserve">Partner rolls load the neck and depend on two children moving in time, so they should be learned with a coach watching and practised only in class.</t>
  </si>
  <si>
    <t xml:space="preserve">Clean solo forward roll with chin tucked; Core strength (hollow body hold); Grip strength to hold a partner's ankles; Trust and counting together with a partner</t>
  </si>
  <si>
    <t xml:space="preserve">Rolo: nonstop</t>
  </si>
  <si>
    <t xml:space="preserve">Not a standard term I could verify; ask the teacher. It looks like the same partner roll done continuously, with no pause between rolls.</t>
  </si>
  <si>
    <t xml:space="preserve">1. Starts from the same ankle-to-ankle grip as the two-roll version.
2. Each roll flows straight into the next with an even rhythm. Partners often count out loud.
3. The pair keeps a straight line down the mat.
4. The coach decides how many rolls in a row are safe and stops the pair if they get tired or dizzy.</t>
  </si>
  <si>
    <t xml:space="preserve">• Speeding up and losing the shared rhythm
• Drifting off the side of the mat
• Carrying on once tired or dizzy</t>
  </si>
  <si>
    <t xml:space="preserve">Sister cartwheel</t>
  </si>
  <si>
    <t xml:space="preserve">Sister cartwheel: one</t>
  </si>
  <si>
    <t xml:space="preserve">Not a standard term I could verify; ask the teacher. It is probably one partner cartwheel done once.</t>
  </si>
  <si>
    <t xml:space="preserve">1. The teacher sets the grip first (hands held, or ankles held for a double cartwheel) and which side each dancer faces.
2. The partners agree on a count so they go upside down together.
3. Arms stay straight and strong through the hands-down part.
4. Both finish standing and still holding on, in a set finishing pose.</t>
  </si>
  <si>
    <t xml:space="preserve">• Going on different counts, so one partner pulls the other
• Bent arms that collapse when weight comes onto the hands
• Not staying in a straight line</t>
  </si>
  <si>
    <t xml:space="preserve">Two children turning upside down while holding on to each other can easily land on each other or on their heads, so the move is taught and practised in class with a coach.</t>
  </si>
  <si>
    <t xml:space="preserve">Clean solo cartwheel on both sides, or on the side the teacher uses; Strong straight arms (plank and handstand holds); Good timing and listening with a partner</t>
  </si>
  <si>
    <t xml:space="preserve">Sister cartwheel: 4 in a row</t>
  </si>
  <si>
    <t xml:space="preserve">Not a standard term I could verify; ask the teacher. It is probably the same partner cartwheel done four times in a row without letting go.</t>
  </si>
  <si>
    <t xml:space="preserve">1. Begins like a single partner cartwheel.
2. Each cartwheel finishes in the starting position for the next one, so they link smoothly.
3. The partners keep a steady, shared rhythm, often by counting aloud.
4. The coach watches for tiredness and dizziness and sets the length of the mat strip.</t>
  </si>
  <si>
    <t xml:space="preserve">• Rushing and losing the shared rhythm
• Drifting off line by the third or fourth cartwheel
• Loose grip by the end</t>
  </si>
  <si>
    <t xml:space="preserve">Lift</t>
  </si>
  <si>
    <t xml:space="preserve">Lift: assisted table</t>
  </si>
  <si>
    <t xml:space="preserve">Not a standard term I could verify; ask the teacher. In kids' partner acro, a "table" usually means a base on hands and knees with a flat back, or a flyer held flat like a tabletop. "Assisted" suggests a coach or partner helps.</t>
  </si>
  <si>
    <t xml:space="preserve">1. Ask the teacher which version the studio uses.
2. In table positions the base keeps a flat back, with hands under the shoulders and knees under the hips.
3. The flyer only puts weight where the coach shows: on the hips and shoulders, never the middle of the back.
4. A coach or third dancer helps (assists) and steadies the flyer.</t>
  </si>
  <si>
    <t xml:space="preserve">• Base's back sagging or rounding
• Flyer stepping or pressing on the middle of the back
• Moving before the count</t>
  </si>
  <si>
    <t xml:space="preserve">Every partner lift puts a child's weight on another child, and the higher levels add flips and flight, so they belong in class with a qualified coach spotting.</t>
  </si>
  <si>
    <t xml:space="preserve">Flyer: a tight, straight body (hollow hold, plank), strong arms, and for the inverted and flipping lifts, the matching solo skill already safe; Base: leg strength (squats), a strong flat back, and good lifting posture with bent knees; Both: clear counts and communication, and a coach-assigned spotter</t>
  </si>
  <si>
    <t xml:space="preserve">Lift: candle hold</t>
  </si>
  <si>
    <t xml:space="preserve">Not a standard term I could verify; ask the teacher. Partner acro does have a known skill called the "candlestick", which may be what is meant, but I could not find a reliable description of it.</t>
  </si>
  <si>
    <t xml:space="preserve">1. Ask the teacher to show the shape and grips.
2. If it is an inverted (upside-down) hold, it is learned only with a coach spotting.
3. The flyer keeps a tight, straight "candle" body line, and the base keeps arms or legs locked under her.
4. The pair leaves the hold by an exit the coach teaches, on a count.</t>
  </si>
  <si>
    <t xml:space="preserve">• Flyer bending at the hips, so the balance tips
• Base's arms or legs bending under the weight
• Coming down without the agreed exit</t>
  </si>
  <si>
    <t xml:space="preserve">Lift: hand hold aerial</t>
  </si>
  <si>
    <t xml:space="preserve">Not a standard term I could verify; ask the teacher. The name suggests an aerial (a no-hands cartwheel) done while a partner holds the flyer's hand to help with height and safety.</t>
  </si>
  <si>
    <t xml:space="preserve">1. This is a flight skill and is taught only by a coach.
2. To watch for: the partner stands beside the flyer and holds one hand in a firm grip the coach teaches.
3. The flyer does her own aerial while the partner gives support and lift through the hand.
4. She lands on her feet, one foot after the other, still connected to her partner.</t>
  </si>
  <si>
    <t xml:space="preserve">• Weak or wrong grip that slips
• Partner pulling too hard or too late
• Trying it before the solo aerial is solid</t>
  </si>
  <si>
    <t xml:space="preserve">Lift: front flip</t>
  </si>
  <si>
    <t xml:space="preserve">A front flip that a partner helps with. In acro dance the classic example is the pitch, where the flyer steps into the base's hand "saddle" and is pushed up into the rotation. The studio's exact version should be confirmed with the teacher.</t>
  </si>
  <si>
    <t xml:space="preserve">1. This is a flipping skill and is taught only by a coach.
2. To watch for: the base sets a strong position, such as a hand saddle or a hold.
3. The flyer steps in or jumps on a shared count while the base drives her upward.
4. The flyer turns forward and lands on her feet. The coach spots every attempt until signing off.</t>
  </si>
  <si>
    <t xml:space="preserve">• Mismatched timing between the base's push and the flyer's jump
• Flyer throwing her head or opening the tuck early
• Attempting it without a spotter</t>
  </si>
  <si>
    <t xml:space="preserve">Lift: flying table</t>
  </si>
  <si>
    <t xml:space="preserve">Not a standard term I could verify; ask the teacher. It is probably a flat "table" shape held in the air by a base. Being level 4, it may also involve a jump or toss into the position.</t>
  </si>
  <si>
    <t xml:space="preserve">1. Ask the teacher to explain the entry, grips and exit.
2. A coach teaches it in stages, with a spotter.
3. The flyer holds a tight, flat body line, and the base keeps bent knees and a straight back while lifting.
4. The pair always comes down by a set dismount on a count.</t>
  </si>
  <si>
    <t xml:space="preserve">• Flyer going soft in the middle, which makes her much harder to hold
• Base lifting with a rounded back instead of the legs
• No agreed exit</t>
  </si>
  <si>
    <t xml:space="preserve">Lift: partner line backflip</t>
  </si>
  <si>
    <t xml:space="preserve">Not a standard term I could verify; ask the teacher. It sounds like a back flip done with help from a partner or a line of partners, for example by pushing off their hands or support.</t>
  </si>
  <si>
    <t xml:space="preserve">1. This is a flipping skill and is taught only by a coach.
2. To watch for: the base or bases set a firm platform or grip.
3. On a shared count the flyer is helped upward and turns backward.
4. She lands on her feet with the coach spotting.</t>
  </si>
  <si>
    <t xml:space="preserve">• Timing off between the bases and the flyer
• Flyer leaning back too early instead of going up first
• Practising without a coach</t>
  </si>
  <si>
    <t xml:space="preserve">Partner butterfly</t>
  </si>
  <si>
    <t xml:space="preserve">Partner butterfly: 1 at a time</t>
  </si>
  <si>
    <t xml:space="preserve">Not a standard term I could verify; ask the teacher. The name suggests two dancers taking turns at a butterfly move.</t>
  </si>
  <si>
    <t xml:space="preserve">1. Ask the teacher to demonstrate and name the parts.
2. Practise it only in class with the coach watching.</t>
  </si>
  <si>
    <t xml:space="preserve">• Not known; ask the teacher what to watch for</t>
  </si>
  <si>
    <t xml:space="preserve">It is a partner move I could not identify, so treat it as class-only until the teacher explains it.</t>
  </si>
  <si>
    <t xml:space="preserve">Ask the teacher; it depends on what the move is; General partner work: strong core and arms, matching counts with a partner</t>
  </si>
  <si>
    <t xml:space="preserve">Partner butterfly: repeated</t>
  </si>
  <si>
    <t xml:space="preserve">Not a standard term I could verify; ask the teacher. It is probably the same move done several times in a row.</t>
  </si>
  <si>
    <t xml:space="preserve">Airplane</t>
  </si>
  <si>
    <t xml:space="preserve">Airplane: hold</t>
  </si>
  <si>
    <t xml:space="preserve">The basic airplane balance, held still for a few seconds before a controlled dismount.</t>
  </si>
  <si>
    <t xml:space="preserve">1. The base lies on her back with knees bent, and the flyer stands at her feet facing her.
2. The base places her feet on the flyer's hip bones, and the two hold hands.
3. The flyer leans forward into the base's feet. The base straightens her legs to lift her, keeping her feet stacked over her own hips, in an L shape.
4. The flyer keeps a tight, flat body. Once balanced, she can let go and open her arms like wings.
5. To come down, they hold hands again, and the base bends her knees until the flyer's feet touch the floor.</t>
  </si>
  <si>
    <t xml:space="preserve">• Base's feet too low on the belly or too high on the ribs instead of on the hip bones
• Flyer going floppy or arching, which tips the balance
• Base's legs angled forward instead of stacked straight over the hips</t>
  </si>
  <si>
    <t xml:space="preserve">It is a partner lift, even if a low one, so it is learned in class with a spotter. The walkover and handspring exits are inverted skills that need a coach.</t>
  </si>
  <si>
    <t xml:space="preserve">Flyer: a tight plank body and a lifted chest; Base: strong legs, and able to hold the legs straight up over the hips; For the walkover and handspring versions: those solo skills already solid</t>
  </si>
  <si>
    <t xml:space="preserve">Airplane: airplane to walkover</t>
  </si>
  <si>
    <t xml:space="preserve">Not a standard name I could find a description for, so ask the teacher about the exact pathway. It is an airplane that ends with the flyer going over into a walkover as the way out.</t>
  </si>
  <si>
    <t xml:space="preserve">1. It starts from a steady airplane hold.
2. The coach teaches the hand grips and the moment of rotation; the flyer's own walkover must already be solid.
3. The flyer goes over and lands on her feet one at a time, as in a walkover.
4. A coach spots every attempt while it is being learned.</t>
  </si>
  <si>
    <t xml:space="preserve">• Starting the walkover before the pair is stable
• Base pushing too hard or letting go too early
• Flyer's solo walkover not yet strong enough</t>
  </si>
  <si>
    <t xml:space="preserve">Airplane: airplane handspring</t>
  </si>
  <si>
    <t xml:space="preserve">Not a standard name I could find a description for, so ask the teacher. It is an airplane with a handspring-style exit, which adds flight, so it is a coach-only skill.</t>
  </si>
  <si>
    <t xml:space="preserve">1. This is a flight skill and is taught only by a coach.
2. To watch for: it starts from a steady airplane, and the base helps the flyer rotate into a handspring.
3. The flyer lands on her feet with the coach spotting.
4. The coach decides when the pair is ready, and the flyer's solo handspring must already be safe.</t>
  </si>
  <si>
    <t xml:space="preserve">• Mismatched timing between base and flyer
• Flyer bending her arms on the push
• Trying it without a coach</t>
  </si>
  <si>
    <t xml:space="preserve">Table lift</t>
  </si>
  <si>
    <t xml:space="preserve">Table lift: over the back cartwheel</t>
  </si>
  <si>
    <t xml:space="preserve">Not a standard term I could verify; ask the teacher. It is probably a cartwheel done over a partner in a table position, with hands placed on the partner's back or hips.</t>
  </si>
  <si>
    <t xml:space="preserve">1. The base gets into a strong table: hands under the shoulders, knees under the hips, back flat, head in line.
2. The flyer places her hands where the coach shows, usually over the base's hips and shoulders and not the middle of the back.
3. The flyer cartwheels over the base and lands on the other side.
4. The base stays completely still until the flyer has landed and stepped away.</t>
  </si>
  <si>
    <t xml:space="preserve">• Base moving or sagging during the cartwheel
• Flyer pressing on the middle of the back
• Landing too close to the base</t>
  </si>
  <si>
    <t xml:space="preserve">The flyer puts weight on another child's back while upside down, so it is learned and practised only in class with a coach.</t>
  </si>
  <si>
    <t xml:space="preserve">Base: strong, flat "table" position held without sagging; Flyer: clean solo cartwheel, and for the chest stand version, a coach-approved solo chest stand; Both: shared counts</t>
  </si>
  <si>
    <t xml:space="preserve">Table lift: over the back chest stand</t>
  </si>
  <si>
    <t xml:space="preserve">Not a standard term I could verify; ask the teacher. The name suggests the flyer moves over the table base into or through a chest stand, a backbend balance on the chest with the legs over the head.</t>
  </si>
  <si>
    <t xml:space="preserve">1. Ask the teacher to show the pathway. The flyer's solo chest stand must already be safe.
2. The base holds a firm, still table.
3. The coach teaches where the flyer's hands and body go and spots the whole movement.
4. The flyer finishes by a set exit and the base stays still until she is clear.</t>
  </si>
  <si>
    <t xml:space="preserve">• Rushing into the chest stand before the back is warmed up
• Base moving during the skill
• Practising without the coach</t>
  </si>
  <si>
    <t xml:space="preserve">Jump catch</t>
  </si>
  <si>
    <t xml:space="preserve">Jump catch: hold or lift</t>
  </si>
  <si>
    <t xml:space="preserve">The basic jump catch: the jumper jumps into her partner, who catches and then holds her or lifts her a little.</t>
  </si>
  <si>
    <t xml:space="preserve">1. The pair agrees on exactly where the jumper will take off and where the catch will happen.
2. The jumper signals clearly and jumps straight at her partner, holding a tight body.
3. The catcher bends her knees and takes the weight in her legs rather than bending forward.
4. The catcher holds the shape or lifts a little, then lowers the jumper to her feet with control.</t>
  </si>
  <si>
    <t xml:space="preserve">• Jumper aiming off to the side of the catcher
• Catcher bending at the waist instead of the knees
• Jumper going soft, which makes her much heavier to hold</t>
  </si>
  <si>
    <t xml:space="preserve">Catching a moving body is one of the riskiest partnering skills, so it should only be taught by a coach once dancers are ready.</t>
  </si>
  <si>
    <t xml:space="preserve">Jumper: a controlled, aimed jump with a tight body; Catcher: strong legs, and catching with bent knees and an upright back; Both: experience with simpler supported lifts first</t>
  </si>
  <si>
    <t xml:space="preserve">Jump catch: jump catch sideways</t>
  </si>
  <si>
    <t xml:space="preserve">Not a standard name I could find a description for; ask the teacher which catch position the studio uses. The jumper comes in from the side, or is caught lying sideways, instead of face to face.</t>
  </si>
  <si>
    <t xml:space="preserve">1. The coach sets the take-off spot, the approach angle and the catch grips.
2. The jumper signals and jumps exactly to the agreed spot.
3. The catcher keeps her knees bent and her back upright, and catches at the agreed points.
4. The pair lowers to a controlled finish, with a spotter while learning.</t>
  </si>
  <si>
    <t xml:space="preserve">• Approach angle changing from try to try
• Catcher reaching out instead of staying centred
• No spotter while learning</t>
  </si>
  <si>
    <t xml:space="preserve">Jump catch: catch and spin</t>
  </si>
  <si>
    <t xml:space="preserve">Not a standard name I could find a description for; ask the teacher. It is a jump catch followed by the catcher turning while holding the jumper.</t>
  </si>
  <si>
    <t xml:space="preserve">1. It builds on a secure basic catch.
2. After the catch, the catcher turns by stepping her feet around, keeping knees bent and the jumper close to her body.
3. The jumper stays tight and still during the turn.
4. The pair finishes with a controlled set-down. The coach spots and decides how much turning is safe.</t>
  </si>
  <si>
    <t xml:space="preserve">• Catcher twisting her back instead of stepping around
• Jumper held too far from the body
• Spinning before the catch is secure</t>
  </si>
  <si>
    <t xml:space="preserve">Bluebird</t>
  </si>
  <si>
    <t xml:space="preserve">Bluebird: from standing</t>
  </si>
  <si>
    <t xml:space="preserve">Not a standard term I could verify; ask the teacher. The name suggests the move starts with both partners standing.</t>
  </si>
  <si>
    <t xml:space="preserve">1. Ask the teacher to demonstrate and name the parts.
2. Practise it only in class with the coach spotting.</t>
  </si>
  <si>
    <t xml:space="preserve">It is a level 3 to 4 partner move, probably a lift, so it should only be done in class with a coach spotting.</t>
  </si>
  <si>
    <t xml:space="preserve">Ask the teacher; likely the same strength and trust skills as other partner lifts; Flyer: a tight body line; base: strong legs and arms</t>
  </si>
  <si>
    <t xml:space="preserve">Bluebird: from lean</t>
  </si>
  <si>
    <t xml:space="preserve">Not a standard term I could verify; ask the teacher. The name suggests the same move entered from a lean (for example a counterbalance) instead of from standing.</t>
  </si>
  <si>
    <t xml:space="preserve">Drill</t>
  </si>
  <si>
    <t xml:space="preserve">How</t>
  </si>
  <si>
    <t xml:space="preserve">Donkey kicks</t>
  </si>
  <si>
    <t xml:space="preserve">From a crouch with hands on the floor, kick both feet up behind and land softly, building toward stacking the hips over the shoulders.</t>
  </si>
  <si>
    <t xml:space="preserve">Lunge to T-shape</t>
  </si>
  <si>
    <t xml:space="preserve">From a lunge, tip forward into a T-shape (arms and back leg in a line) and return, the same entry and exit used for the handstand.</t>
  </si>
  <si>
    <t xml:space="preserve">Wall walk / chest-to-wall handstand</t>
  </si>
  <si>
    <t xml:space="preserve">Walk the feet up the wall facing it and hold a straight handstand, which builds strength and the correct shape.</t>
  </si>
  <si>
    <t xml:space="preserve">Handstand shape practice at the wall</t>
  </si>
  <si>
    <t xml:space="preserve">In a wall handstand, practise the leg shapes (stag, straddle, double stag) one at a time while keeping arms locked.</t>
  </si>
  <si>
    <t xml:space="preserve">Handstand walking drills</t>
  </si>
  <si>
    <t xml:space="preserve">Weight shifts from hand to hand, shoulder shrugs and short assisted walks, as used by handstand-walk coaches before free walking.</t>
  </si>
  <si>
    <t xml:space="preserve">Hollow-body hold</t>
  </si>
  <si>
    <t xml:space="preserve">Lie on the back, lift arms and legs slightly with the lower back pressed into the floor, and hold.</t>
  </si>
  <si>
    <t xml:space="preserve">Pike shoulder taps on a box</t>
  </si>
  <si>
    <t xml:space="preserve">With feet on a sofa or box and hips over the shoulders, tap one shoulder at a time to build strength under less load.</t>
  </si>
  <si>
    <t xml:space="preserve">Timed chest-to-wall handstand</t>
  </si>
  <si>
    <t xml:space="preserve">Walk up the wall facing it and hold a straight line for a timed count, building up toward one minute.</t>
  </si>
  <si>
    <t xml:space="preserve">Wall shoulder taps</t>
  </si>
  <si>
    <t xml:space="preserve">In a wall handstand, tap opposite shoulders in slow alternation.</t>
  </si>
  <si>
    <t xml:space="preserve">Handstand pops on a panel mat</t>
  </si>
  <si>
    <t xml:space="preserve">Short pushes through the shoulders from handstand onto a panel mat, a drill shared by an Acrobatic Arts teacher; best done in class.</t>
  </si>
  <si>
    <t xml:space="preserve">Bunny hops / monkey jumps</t>
  </si>
  <si>
    <t xml:space="preserve">Hands on the floor, jump the feet sideways over a line, building toward a cartwheel.</t>
  </si>
  <si>
    <t xml:space="preserve">Cartwheel along a line</t>
  </si>
  <si>
    <t xml:space="preserve">Practise cartwheels on a tape line or mat seam so hands and feet land in a straight line.</t>
  </si>
  <si>
    <t xml:space="preserve">Cartwheel against a wall</t>
  </si>
  <si>
    <t xml:space="preserve">Coach Meggin's wall drill has the gymnast cartwheel with back to a wall to keep the body flat and straight.</t>
  </si>
  <si>
    <t xml:space="preserve">One-hand progression</t>
  </si>
  <si>
    <t xml:space="preserve">Do normal cartwheels while lightening the second hand until it lifts off.</t>
  </si>
  <si>
    <t xml:space="preserve">Heli progressions</t>
  </si>
  <si>
    <t xml:space="preserve">Coach-led mat progressions for the leg switch, as discussed in the Acrobatic Arts heli podcast episode.</t>
  </si>
  <si>
    <t xml:space="preserve">Cartwheel with feet together landing</t>
  </si>
  <si>
    <t xml:space="preserve">On a line, do a cartwheel and practise bringing the feet together just before landing.</t>
  </si>
  <si>
    <t xml:space="preserve">Handstand snap-down</t>
  </si>
  <si>
    <t xml:space="preserve">From a handstand, the coach has her snap both feet down together quickly to a hollow standing shape.</t>
  </si>
  <si>
    <t xml:space="preserve">Hurdle practice</t>
  </si>
  <si>
    <t xml:space="preserve">Practise the skip-step hurdle and lunge entry with no tumbling, focusing on long reach.</t>
  </si>
  <si>
    <t xml:space="preserve">Round off onto a raised mat</t>
  </si>
  <si>
    <t xml:space="preserve">Coaches use mats and drills like Coach Meggin's round-off drill to build a more powerful finish.</t>
  </si>
  <si>
    <t xml:space="preserve">Bridge push-ups and holds</t>
  </si>
  <si>
    <t xml:space="preserve">Push up to a bridge from the floor, hold, then rock the shoulders forward over the hands.</t>
  </si>
  <si>
    <t xml:space="preserve">Bridge with one leg lifted</t>
  </si>
  <si>
    <t xml:space="preserve">Hold a straight-arm bridge and lift one leg toward the ceiling, the first step toward a kickover.</t>
  </si>
  <si>
    <t xml:space="preserve">Bridge kickover over a mat or panel block</t>
  </si>
  <si>
    <t xml:space="preserve">From a bridge on a raised block, kick over to standing; the height makes the kickover easier.</t>
  </si>
  <si>
    <t xml:space="preserve">Walk-down the wall</t>
  </si>
  <si>
    <t xml:space="preserve">Facing away from a wall, walk the hands down it into a bridge and back up.</t>
  </si>
  <si>
    <t xml:space="preserve">Back walkover off a raised mat</t>
  </si>
  <si>
    <t xml:space="preserve">Coaches progress from a bridge to a wall, then to low and higher boxes before the full skill.</t>
  </si>
  <si>
    <t xml:space="preserve">Front aerial progressions</t>
  </si>
  <si>
    <t xml:space="preserve">Coach-led progressions (for example the ADTA 4-step system) with hand spotting.</t>
  </si>
  <si>
    <t xml:space="preserve">Bridge rocks</t>
  </si>
  <si>
    <t xml:space="preserve">In a bridge, rock the shoulders forward over the hands and back.</t>
  </si>
  <si>
    <t xml:space="preserve">Stand up from bridge with help</t>
  </si>
  <si>
    <t xml:space="preserve">Push to a bridge, then with an adult or coach supporting the lower back, practise pulling up to standing.</t>
  </si>
  <si>
    <t xml:space="preserve">Handstand fall-over to bridge on a mat</t>
  </si>
  <si>
    <t xml:space="preserve">From a handstand at a mat stack, let the legs fall over together into a bridge.</t>
  </si>
  <si>
    <t xml:space="preserve">Limber off a raised mat</t>
  </si>
  <si>
    <t xml:space="preserve">Coach-led limbers from a slight height so the stand-up is easier.</t>
  </si>
  <si>
    <t xml:space="preserve">Dolphin pose / forearm plank</t>
  </si>
  <si>
    <t xml:space="preserve">Hold a forearm plank and walk the feet in to lift the hips (dolphin) to build shoulder strength.</t>
  </si>
  <si>
    <t xml:space="preserve">Headstand practice</t>
  </si>
  <si>
    <t xml:space="preserve">Coaches and tutorial viewers suggest a steady headstand first to get used to being upside down.</t>
  </si>
  <si>
    <t xml:space="preserve">Wall elbow stand</t>
  </si>
  <si>
    <t xml:space="preserve">With the back to a wall, kick up into an elbow stand with the heels resting on the wall, elbows shoulder-width.</t>
  </si>
  <si>
    <t xml:space="preserve">Back flexibility (bridge, cobra)</t>
  </si>
  <si>
    <t xml:space="preserve">Regular bridges and back stretches prepare the C-curve and hollowback shapes.</t>
  </si>
  <si>
    <t xml:space="preserve">Hollowback at the wall with a coach</t>
  </si>
  <si>
    <t xml:space="preserve">Coach-supported forearm stand with the feet sliding down the wall into an arch.</t>
  </si>
  <si>
    <t xml:space="preserve">Forearm plank and dolphin</t>
  </si>
  <si>
    <t xml:space="preserve">Hold a forearm plank and lift the hips into dolphin to build shoulder strength.</t>
  </si>
  <si>
    <t xml:space="preserve">Elbow stand at the wall</t>
  </si>
  <si>
    <t xml:space="preserve">Practise a supported elbow stand to get used to the forearm base.</t>
  </si>
  <si>
    <t xml:space="preserve">Elbow cartwheel on a soft mat line</t>
  </si>
  <si>
    <t xml:space="preserve">From kneeling, practise along a mat seam or pizza-style mat piece so the forearms land in a line.</t>
  </si>
  <si>
    <t xml:space="preserve">Helicopter progressions</t>
  </si>
  <si>
    <t xml:space="preserve">Coach-led leg-switch progressions once the basic skills are clean.</t>
  </si>
  <si>
    <t xml:space="preserve">Tripod (frog) balance</t>
  </si>
  <si>
    <t xml:space="preserve">Head and hands in a triangle, knees resting on the elbows; build up to holding it for longer.</t>
  </si>
  <si>
    <t xml:space="preserve">Wall headstand</t>
  </si>
  <si>
    <t xml:space="preserve">Tripod set up near a wall so the feet can rest on it while she learns to lift slowly.</t>
  </si>
  <si>
    <t xml:space="preserve">Tuck headstand</t>
  </si>
  <si>
    <t xml:space="preserve">From the tripod, lift the knees up in a tuck above the hips before straightening the legs.</t>
  </si>
  <si>
    <t xml:space="preserve">Tuck and roll exit</t>
  </si>
  <si>
    <t xml:space="preserve">From the tripod, practise tucking the chin and rolling out forward so she knows how to bail safely.</t>
  </si>
  <si>
    <t xml:space="preserve">Straddle and pike headstand lifts</t>
  </si>
  <si>
    <t xml:space="preserve">Lift into the headstand with legs apart (straddle) or straight together (pike) for core strength.</t>
  </si>
  <si>
    <t xml:space="preserve">Headstand fall to bridge onto a soft mat</t>
  </si>
  <si>
    <t xml:space="preserve">From a tripod headstand, fall slowly over into a bridge onto a raised soft mat with a coach supporting.</t>
  </si>
  <si>
    <t xml:space="preserve">Headspring off a raised box</t>
  </si>
  <si>
    <t xml:space="preserve">Start on a box, pike with hands and head on the edge, drive the legs over and push onto a crash mat with two spotters.</t>
  </si>
  <si>
    <t xml:space="preserve">Bridge push-ups</t>
  </si>
  <si>
    <t xml:space="preserve">From lying on the back, push up into a bridge and lower; builds the arm push and back shape.</t>
  </si>
  <si>
    <t xml:space="preserve">Front handspring and bounder progressions</t>
  </si>
  <si>
    <t xml:space="preserve">Coach-led drills for blocking, step-outs and rebound that connect the headspring to the front handspring.</t>
  </si>
  <si>
    <t xml:space="preserve">Tuck rocks</t>
  </si>
  <si>
    <t xml:space="preserve">Rock back and forth on a rounded back in a tight tuck to learn the roll-back.</t>
  </si>
  <si>
    <t xml:space="preserve">Kick to shoulder bridge</t>
  </si>
  <si>
    <t xml:space="preserve">Rock back, kick up and land feet down with hips lifted.</t>
  </si>
  <si>
    <t xml:space="preserve">Kick-up into bridge</t>
  </si>
  <si>
    <t xml:space="preserve">Rock back, kick and push through the hands to land in a bridge on the balls of the feet.</t>
  </si>
  <si>
    <t xml:space="preserve">Kip-up off a raised mat</t>
  </si>
  <si>
    <t xml:space="preserve">Start lying on a raised mat so the feet have further to fall and land under her more easily.</t>
  </si>
  <si>
    <t xml:space="preserve">Bail practice</t>
  </si>
  <si>
    <t xml:space="preserve">Practise letting the move go safely and sitting down when it is not going to make it.</t>
  </si>
  <si>
    <t xml:space="preserve">Cartwheel on a line</t>
  </si>
  <si>
    <t xml:space="preserve">Straight cartwheels with legs passing straight over the top, on both sides.</t>
  </si>
  <si>
    <t xml:space="preserve">Dive and one-handed cartwheels</t>
  </si>
  <si>
    <t xml:space="preserve">Long reaching cartwheels, then cartwheels using one hand, to cut down the hand support.</t>
  </si>
  <si>
    <t xml:space="preserve">Mountain climb and needle kick</t>
  </si>
  <si>
    <t xml:space="preserve">From a lunge with one knee down, drop the chest and kick the back leg up to build the entry power.</t>
  </si>
  <si>
    <t xml:space="preserve">Fast cartwheel close</t>
  </si>
  <si>
    <t xml:space="preserve">A quick cartwheel landing one foot after the other, to train the lunge timing.</t>
  </si>
  <si>
    <t xml:space="preserve">Aerial off a raised surface</t>
  </si>
  <si>
    <t xml:space="preserve">Aerial from a panel mat onto a lower, soft landing, with the coach spotting at the hips.</t>
  </si>
  <si>
    <t xml:space="preserve">The hand version of the skill, built from a strong handstand and bridge.</t>
  </si>
  <si>
    <t xml:space="preserve">Front aerial off stacked panel mats</t>
  </si>
  <si>
    <t xml:space="preserve">Step into the front aerial from raised panels onto a thick landing mat, lowering the panels over time.</t>
  </si>
  <si>
    <t xml:space="preserve">Spotted front aerial</t>
  </si>
  <si>
    <t xml:space="preserve">Coach-spotted attempts on the floor before going unaided.</t>
  </si>
  <si>
    <t xml:space="preserve">Split and leg-kick conditioning</t>
  </si>
  <si>
    <t xml:space="preserve">Split stretches and kicking drills to build the flexibility and power the skill needs.</t>
  </si>
  <si>
    <t xml:space="preserve">Rock back and forth in a tight tuck on a rounded back.</t>
  </si>
  <si>
    <t xml:space="preserve">Beanbag under the chin</t>
  </si>
  <si>
    <t xml:space="preserve">Roll while holding a beanbag or soft toy under the chin to keep the head tucked.</t>
  </si>
  <si>
    <t xml:space="preserve">Roll down an incline mat</t>
  </si>
  <si>
    <t xml:space="preserve">A wedge mat helps her roll over and stand up.</t>
  </si>
  <si>
    <t xml:space="preserve">Handstand roll on an incline</t>
  </si>
  <si>
    <t xml:space="preserve">Kick to handstand at the top of a wedge mat and lower into a roll.</t>
  </si>
  <si>
    <t xml:space="preserve">Dive roll over a soft object</t>
  </si>
  <si>
    <t xml:space="preserve">Reach over a rolled mat or foam block into a roll, adding distance slowly.</t>
  </si>
  <si>
    <t xml:space="preserve">Baby crow</t>
  </si>
  <si>
    <t xml:space="preserve">Rest the knees on the arms and lift one foot at a time.</t>
  </si>
  <si>
    <t xml:space="preserve">Crow with a cushion</t>
  </si>
  <si>
    <t xml:space="preserve">Place a pillow in front of the hands so tipping forward is soft.</t>
  </si>
  <si>
    <t xml:space="preserve">Wrist warm-ups</t>
  </si>
  <si>
    <t xml:space="preserve">Circles and gentle stretches for the wrists before any hand balance.</t>
  </si>
  <si>
    <t xml:space="preserve">Hollow body holds</t>
  </si>
  <si>
    <t xml:space="preserve">Lie on the back with shoulders and legs lifted to build the core the crow needs.</t>
  </si>
  <si>
    <t xml:space="preserve">Knee-sit shoulder roll</t>
  </si>
  <si>
    <t xml:space="preserve">A small shoulder roll starting from kneeling.</t>
  </si>
  <si>
    <t xml:space="preserve">Candlestick holds</t>
  </si>
  <si>
    <t xml:space="preserve">Hold the shoulder stand with legs straight up to learn the start of the fish roll.</t>
  </si>
  <si>
    <t xml:space="preserve">Candlestick to one shoulder</t>
  </si>
  <si>
    <t xml:space="preserve">From the candlestick, tip the legs slightly to one side and turn the head the other way.</t>
  </si>
  <si>
    <t xml:space="preserve">Fish roll on a soft mat</t>
  </si>
  <si>
    <t xml:space="preserve">Full fish roll focusing on pointed toes and a slow, arched lowering.</t>
  </si>
  <si>
    <t xml:space="preserve">Roll down a wedge mat</t>
  </si>
  <si>
    <t xml:space="preserve">Rolling back down an incline mat lets gravity help her over.</t>
  </si>
  <si>
    <t xml:space="preserve">Backward roll from a panel mat edge</t>
  </si>
  <si>
    <t xml:space="preserve">Start with the shoulders at the edge of a raised panel mat or block for more room for the head.</t>
  </si>
  <si>
    <t xml:space="preserve">Candlestick rocks</t>
  </si>
  <si>
    <t xml:space="preserve">Roll back into a candlestick and back up to build the roll-back.</t>
  </si>
  <si>
    <t xml:space="preserve">Backward roll to push-up</t>
  </si>
  <si>
    <t xml:space="preserve">Roll back and finish in a push-up (front support) as a step to the back extension roll.</t>
  </si>
  <si>
    <t xml:space="preserve">Handstand holds</t>
  </si>
  <si>
    <t xml:space="preserve">Wall handstand holds building toward a minute, for the back extension roll.</t>
  </si>
  <si>
    <t xml:space="preserve">Candlestick hold</t>
  </si>
  <si>
    <t xml:space="preserve">Hold the straight shape for a few slow counts and build up.</t>
  </si>
  <si>
    <t xml:space="preserve">Candlestick rise (rock to stand)</t>
  </si>
  <si>
    <t xml:space="preserve">Roll back into the candlestick, then rock forward and stand up without using the hands.</t>
  </si>
  <si>
    <t xml:space="preserve">Hollow body rocks</t>
  </si>
  <si>
    <t xml:space="preserve">Rock in a hollow shape on the back to build the core strength.</t>
  </si>
  <si>
    <t xml:space="preserve">Candlestick with arms overhead</t>
  </si>
  <si>
    <t xml:space="preserve">Hold the candlestick with straight arms on the floor overhead for shoulder strength.</t>
  </si>
  <si>
    <t xml:space="preserve">Cobra and seal stretch</t>
  </si>
  <si>
    <t xml:space="preserve">Lie on the tummy and press up through straight or bent arms to stretch the front of the body and warm the back evenly before any chest work.</t>
  </si>
  <si>
    <t xml:space="preserve">Hip flexor lunge stretch</t>
  </si>
  <si>
    <t xml:space="preserve">Low lunge with the back knee down, sinking the hips forward to open the front of the hip; Acrobatic Arts screens hip flexor length before chest stand training.</t>
  </si>
  <si>
    <t xml:space="preserve">Tricep push-up holds</t>
  </si>
  <si>
    <t xml:space="preserve">Push-ups with elbows hugging the ribs build the arm press used to hold the chest stand.</t>
  </si>
  <si>
    <t xml:space="preserve">Chest roll</t>
  </si>
  <si>
    <t xml:space="preserve">Rolling forward from a supported position through the chest into the legs-over shape; Acrobatic Arts cues pressing the hands to make space for the head and keeping the roll smooth.</t>
  </si>
  <si>
    <t xml:space="preserve">Handstand to chest roll</t>
  </si>
  <si>
    <t xml:space="preserve">A curved-back handstand lowered with bent arms through the chest; this is a class progression taught with a spot.</t>
  </si>
  <si>
    <t xml:space="preserve">Bridge push-ups and bridge holds</t>
  </si>
  <si>
    <t xml:space="preserve">Push up into a bridge from lying on the back and hold with straight arms, shoulders over the hands.</t>
  </si>
  <si>
    <t xml:space="preserve">Seated hip lift</t>
  </si>
  <si>
    <t xml:space="preserve">From the Valdez sitting position, place the back hand down and lift the hips high without kicking, to learn the push and hand placement.</t>
  </si>
  <si>
    <t xml:space="preserve">Bridge kickover to lunge</t>
  </si>
  <si>
    <t xml:space="preserve">From a bridge, kick one leg over to land in a lunge; coaches on ChalkBucket list this as the first step toward a Valdez.</t>
  </si>
  <si>
    <t xml:space="preserve">Valdez from a stacked mat</t>
  </si>
  <si>
    <t xml:space="preserve">Sitting on a raised mat gives extra height so the dancer can go over more easily, then the mat is lowered over time.</t>
  </si>
  <si>
    <t xml:space="preserve">Spotted Valdez</t>
  </si>
  <si>
    <t xml:space="preserve">The coach supports the back and hips through the top of the skill until the dancer can go over alone.</t>
  </si>
  <si>
    <t xml:space="preserve">Bridge holds</t>
  </si>
  <si>
    <t xml:space="preserve">Push up into a bridge and hold with straight arms and legs as straight as comfortable.</t>
  </si>
  <si>
    <t xml:space="preserve">Bridge rock</t>
  </si>
  <si>
    <t xml:space="preserve">In a bridge, gently rock the shoulders forward over the hands and back to build shoulder flexibility.</t>
  </si>
  <si>
    <t xml:space="preserve">Bridge kickover</t>
  </si>
  <si>
    <t xml:space="preserve">From a bridge, kick one leg over to land in a lunge; this is the second half of every walkover.</t>
  </si>
  <si>
    <t xml:space="preserve">Front walkover with a spot</t>
  </si>
  <si>
    <t xml:space="preserve">The coach supports the back through the bridge until the dancer can stand up alone.</t>
  </si>
  <si>
    <t xml:space="preserve">Single tinsica, then two in a row</t>
  </si>
  <si>
    <t xml:space="preserve">Coaches teach one tinsica to a lunge before linking them into rolling spiders.</t>
  </si>
  <si>
    <t xml:space="preserve">Tuck-ups and hollow holds</t>
  </si>
  <si>
    <t xml:space="preserve">Lying on the back, pull the knees in quickly to the chest, and hold a hollow shape, to build the tight tuck.</t>
  </si>
  <si>
    <t xml:space="preserve">Squat jumps and lunges</t>
  </si>
  <si>
    <t xml:space="preserve">Builds the leg power for a high punch.</t>
  </si>
  <si>
    <t xml:space="preserve">Jump to forward roll onto a raised mat</t>
  </si>
  <si>
    <t xml:space="preserve">Jumping and rolling onto a trapezoid or block mat teaches getting the hips over the head fast.</t>
  </si>
  <si>
    <t xml:space="preserve">Front tuck on trampoline</t>
  </si>
  <si>
    <t xml:space="preserve">Gymnastics HQ calls the trampoline the first place a front tuck should be learned, with a coach present.</t>
  </si>
  <si>
    <t xml:space="preserve">Tumble track into the pit, then lowering mats</t>
  </si>
  <si>
    <t xml:space="preserve">Coaches move from the pit to a thick mat on top of the pit, to a mat on the floor, and finally the floor.</t>
  </si>
  <si>
    <t xml:space="preserve">Arm swing jumps</t>
  </si>
  <si>
    <t xml:space="preserve">Jump straight up with arms swinging to the ears and land in the same spot, to learn the set.</t>
  </si>
  <si>
    <t xml:space="preserve">On the back on a mat, hug the knees and rock back and forth to feel the tuck shape.</t>
  </si>
  <si>
    <t xml:space="preserve">Back tuck shaping drills on stacked mats</t>
  </si>
  <si>
    <t xml:space="preserve">Jumping up and back onto a raised soft mat teaches the takeoff and shape without the full flip.</t>
  </si>
  <si>
    <t xml:space="preserve">Back tuck on trampoline or into the pit</t>
  </si>
  <si>
    <t xml:space="preserve">Coaches use trampolines and pits so the gymnast can practise the rotation softly.</t>
  </si>
  <si>
    <t xml:space="preserve">Spotted back tuck on floor</t>
  </si>
  <si>
    <t xml:space="preserve">A coach supports the back and thighs through the flip until the gymnast is consistent.</t>
  </si>
  <si>
    <t xml:space="preserve">Wall handstand holds</t>
  </si>
  <si>
    <t xml:space="preserve">Hold a straight-arm handstand against the wall; Gymnastics HQ treats this as the base for every handspring.</t>
  </si>
  <si>
    <t xml:space="preserve">Bridge holds and bridge kickovers</t>
  </si>
  <si>
    <t xml:space="preserve">Build the shoulder flexibility and backward comfort used in the back skills.</t>
  </si>
  <si>
    <t xml:space="preserve">From a handstand, push through the shoulders to snap the feet down together on a mat.</t>
  </si>
  <si>
    <t xml:space="preserve">Handspring over a barrel or off a panel mat</t>
  </si>
  <si>
    <t xml:space="preserve">The rounded barrel or a raised mat supports the back while the coach spots.</t>
  </si>
  <si>
    <t xml:space="preserve">Sit-lean-push onto a mat stack</t>
  </si>
  <si>
    <t xml:space="preserve">Sitting and falling back onto a soft stack teaches the back handspring start.</t>
  </si>
  <si>
    <t xml:space="preserve">Round-off rebound</t>
  </si>
  <si>
    <t xml:space="preserve">A round-off that snaps down and rebounds straight up, with no flip yet; Gymnastics HQ lists this as a first round-off back handspring drill.</t>
  </si>
  <si>
    <t xml:space="preserve">Round-off flat back onto a raised mat</t>
  </si>
  <si>
    <t xml:space="preserve">Round-off then fall back flat onto a raised soft mat to learn the backward drive.</t>
  </si>
  <si>
    <t xml:space="preserve">Round-off half turn to handstand onto stacked mats</t>
  </si>
  <si>
    <t xml:space="preserve">An Arabian drill from American Gymnast that teaches the half turn and body extension before adding any flip.</t>
  </si>
  <si>
    <t xml:space="preserve">Trampoline and pit work</t>
  </si>
  <si>
    <t xml:space="preserve">Coaches teach the layout, Arabian and side flip shapes on trampoline and into a foam pit first.</t>
  </si>
  <si>
    <t xml:space="preserve">Hollow and arch holds</t>
  </si>
  <si>
    <t xml:space="preserve">Body-shape holds lying on the back and front build the tight, straight body these passes need.</t>
  </si>
  <si>
    <t xml:space="preserve">Chest-to-wall handstand</t>
  </si>
  <si>
    <t xml:space="preserve">Walk the feet up the wall with the tummy facing it until the body is a straight line; Gymnastics HQ uses this to find the stacked position.</t>
  </si>
  <si>
    <t xml:space="preserve">Save Game</t>
  </si>
  <si>
    <t xml:space="preserve">Kick to handstand and, when tipping, try to save it with the fingers or palms at least once; a Gymnastics HQ balance drill.</t>
  </si>
  <si>
    <t xml:space="preserve">Plank and hollow holds</t>
  </si>
  <si>
    <t xml:space="preserve">Front plank and hollow body holds build the tight body for the handstand.</t>
  </si>
  <si>
    <t xml:space="preserve">Shoulder shrug push-ups in pike</t>
  </si>
  <si>
    <t xml:space="preserve">In a downward-dog pike, push the shoulders up toward the ears to build the handstand push.</t>
  </si>
  <si>
    <t xml:space="preserve">Cobra and seal back stretches</t>
  </si>
  <si>
    <t xml:space="preserve">Gentle, even back stretches before chin or chest stand work.</t>
  </si>
  <si>
    <t xml:space="preserve">Hollow and arch body holds</t>
  </si>
  <si>
    <t xml:space="preserve">Lying on the floor, hold a tight 'banana' (hollow) shape on the back, then an arch on the tummy, to build the body tension a bronco needs.</t>
  </si>
  <si>
    <t xml:space="preserve">Small donkey kicks</t>
  </si>
  <si>
    <t xml:space="preserve">Hands on a mat, small hops of the feet so the hips rise over the shoulders and the feet land softly back down; builds the kick and the push through the arms.</t>
  </si>
  <si>
    <t xml:space="preserve">Wall walk-up handstand hold</t>
  </si>
  <si>
    <t xml:space="preserve">Facing away from a padded wall, hands on the floor, walk the feet up the wall and hold a straight body to build shoulder strength.</t>
  </si>
  <si>
    <t xml:space="preserve">From a handstand, the coach teaches a quick snap of the feet back to the floor so the dancer lands standing tall; done on mats with a coach.</t>
  </si>
  <si>
    <t xml:space="preserve">Spotted bronco on mats</t>
  </si>
  <si>
    <t xml:space="preserve">The full bronco done with a coach supporting at the hips until the dancer controls the kick and landing.</t>
  </si>
  <si>
    <t xml:space="preserve">Front splits practice</t>
  </si>
  <si>
    <t xml:space="preserve">Daily warm-up and held front splits on both sides to build the range for heel stretch and bow and arrow.</t>
  </si>
  <si>
    <t xml:space="preserve">Lunge and quad stretches</t>
  </si>
  <si>
    <t xml:space="preserve">Low lunges and kneeling quad stretches open the hip flexors and thighs needed for scorpion and needle.</t>
  </si>
  <si>
    <t xml:space="preserve">Bridge from the floor</t>
  </si>
  <si>
    <t xml:space="preserve">Lying on the back, push up into a bridge to build gentle back flexibility; the back should be strengthened, not forced.</t>
  </si>
  <si>
    <t xml:space="preserve">Strap or belt scorpion</t>
  </si>
  <si>
    <t xml:space="preserve">Loop a strap around the back foot and slowly walk the hands down it to bring the foot toward the head.</t>
  </si>
  <si>
    <t xml:space="preserve">Wall-supported leg hold</t>
  </si>
  <si>
    <t xml:space="preserve">Stand beside or facing a wall for balance while holding the heel stretch or scorpion, then try without the wall.</t>
  </si>
  <si>
    <t xml:space="preserve">Wrist warm-up and hand placement</t>
  </si>
  <si>
    <t xml:space="preserve">Circle and stretch the wrists, then practise placing the hands flat with fingers spread and elbows stabbed in the right spot before any freeze.</t>
  </si>
  <si>
    <t xml:space="preserve">Frog stand / turtle hold on toes</t>
  </si>
  <si>
    <t xml:space="preserve">Squat with hands down and elbows in, then rock forward a little at a time until the feet float; builds strength and balance.</t>
  </si>
  <si>
    <t xml:space="preserve">Baby freeze with feet down</t>
  </si>
  <si>
    <t xml:space="preserve">Set up the baby freeze shape with the toes still touching, then lift one foot, then both, for short holds.</t>
  </si>
  <si>
    <t xml:space="preserve">Both-sides practice and linking</t>
  </si>
  <si>
    <t xml:space="preserve">Hold each freeze on both sides, then link two freezes or add footwork in and out, as in BBoy Dojo's freeze drills.</t>
  </si>
  <si>
    <t xml:space="preserve">Shoulder freeze and spin progressions</t>
  </si>
  <si>
    <t xml:space="preserve">Coach-led work on shoulder balance, headmill and shoulder spin entries on mats.</t>
  </si>
  <si>
    <t xml:space="preserve">Drop entries</t>
  </si>
  <si>
    <t xml:space="preserve">Coach-led drops from standing into freezes, starting slow and low.</t>
  </si>
  <si>
    <t xml:space="preserve">Back rocking in a tuck</t>
  </si>
  <si>
    <t xml:space="preserve">Sit hugging the knees and rock back and forth on the rounded back, keeping the chin tucked.</t>
  </si>
  <si>
    <t xml:space="preserve">Leg wind-up</t>
  </si>
  <si>
    <t xml:space="preserve">Lying on the back, practise swinging the legs across the body to feel how the swing turns the body.</t>
  </si>
  <si>
    <t xml:space="preserve">Seated backspin on a smooth surface</t>
  </si>
  <si>
    <t xml:space="preserve">From sitting, start small spins on a smooth floor or wearing a slippery jacket, counting turns.</t>
  </si>
  <si>
    <t xml:space="preserve">Tuck-tightening for speed</t>
  </si>
  <si>
    <t xml:space="preserve">Once spinning, practise pulling the knees in tighter to spin faster, then opening to slow down.</t>
  </si>
  <si>
    <t xml:space="preserve">Standing entries</t>
  </si>
  <si>
    <t xml:space="preserve">Coach-led drills going from standing or footwork down into the backspin.</t>
  </si>
  <si>
    <t xml:space="preserve">Tornado kick on the spot</t>
  </si>
  <si>
    <t xml:space="preserve">Practise the turning step and round kick without jumping high, focusing on spotting the head and finishing balanced.</t>
  </si>
  <si>
    <t xml:space="preserve">Knee-height 540</t>
  </si>
  <si>
    <t xml:space="preserve">Do the full turn but kick only to knee height, raising it gradually as timing improves (a common taekwondo tip).</t>
  </si>
  <si>
    <t xml:space="preserve">Hitch kick (scissor jump) straight ahead</t>
  </si>
  <si>
    <t xml:space="preserve">Jump and switch legs in the air without spinning, landing softly on the second leg.</t>
  </si>
  <si>
    <t xml:space="preserve">Target-pad 540</t>
  </si>
  <si>
    <t xml:space="preserve">The coach holds a pad at a safe height so the dancer learns where the kick finishes at the top of the jump.</t>
  </si>
  <si>
    <t xml:space="preserve">Butterfly arm swing and dip</t>
  </si>
  <si>
    <t xml:space="preserve">Practise the lunge, the down-and-across arm swing and the chest dip slowly without leaving the floor.</t>
  </si>
  <si>
    <t xml:space="preserve">Low butterfly over a line</t>
  </si>
  <si>
    <t xml:space="preserve">Do small, low butterflies over a line on a mat, raising height step by step.</t>
  </si>
  <si>
    <t xml:space="preserve">Wall-supported leg swing</t>
  </si>
  <si>
    <t xml:space="preserve">Face the wall, hands on it, and swing the legs up and around to feel the leg path.</t>
  </si>
  <si>
    <t xml:space="preserve">Cartwheel to butterfly</t>
  </si>
  <si>
    <t xml:space="preserve">Start from a cartwheel and gradually flatten the body and take the hands away, as some tutorials suggest.</t>
  </si>
  <si>
    <t xml:space="preserve">Ask for the teacher's drill</t>
  </si>
  <si>
    <t xml:space="preserve">Ask the teacher which drills build toward this move and note them down here.</t>
  </si>
  <si>
    <t xml:space="preserve">Wrist warm-up</t>
  </si>
  <si>
    <t xml:space="preserve">Wrist circles, rocking onto the hands and finger stretches before any floor work.</t>
  </si>
  <si>
    <t xml:space="preserve">Coffee grinder slow</t>
  </si>
  <si>
    <t xml:space="preserve">Do the leg sweep slowly, one hand lift at a time, on carpet or a mat.</t>
  </si>
  <si>
    <t xml:space="preserve">Planks and side planks</t>
  </si>
  <si>
    <t xml:space="preserve">Hold planks and side planks for a few weeks to build the core strength swipes need (Red Bull's swipe guide suggests this).</t>
  </si>
  <si>
    <t xml:space="preserve">Bridge holds and kick-overs</t>
  </si>
  <si>
    <t xml:space="preserve">Hold a bridge from the floor, then practise turning from a crab/bridge to hands-and-feet facing down slowly.</t>
  </si>
  <si>
    <t xml:space="preserve">Torso-then-legs swipe drill</t>
  </si>
  <si>
    <t xml:space="preserve">In class, practise turning the torso first and then the legs, at half speed with a coach watching.</t>
  </si>
  <si>
    <t xml:space="preserve">Slow lunge-to-floor</t>
  </si>
  <si>
    <t xml:space="preserve">From a lunge, lower slowly until the hands touch, keeping weight on the back toes and hands, never the kneecap.</t>
  </si>
  <si>
    <t xml:space="preserve">Hand catch practice</t>
  </si>
  <si>
    <t xml:space="preserve">From kneeling, fall forward onto bent arms on a mat to learn a soft catch.</t>
  </si>
  <si>
    <t xml:space="preserve">Knee drop at half speed</t>
  </si>
  <si>
    <t xml:space="preserve">In class, do the kick-and-drop slowly onto a mat while the coach checks that the back toes and hands take the weight.</t>
  </si>
  <si>
    <t xml:space="preserve">Rock-backs</t>
  </si>
  <si>
    <t xml:space="preserve">Lie down, rock back to the upper back with knees to chest and rock forward again, without kicking.</t>
  </si>
  <si>
    <t xml:space="preserve">Push up into a bridge from the floor to build arm and back strength.</t>
  </si>
  <si>
    <t xml:space="preserve">Kip-up from a raised mat</t>
  </si>
  <si>
    <t xml:space="preserve">Coach sets a folded mat so the dancer starts slightly higher, making the snap easier to learn.</t>
  </si>
  <si>
    <t xml:space="preserve">Spotted kip-up</t>
  </si>
  <si>
    <t xml:space="preserve">The coach supports the lower back as the dancer kicks up to her feet.</t>
  </si>
  <si>
    <t xml:space="preserve">Handstand against the wall</t>
  </si>
  <si>
    <t xml:space="preserve">Hold a straight wall handstand to build shoulder strength.</t>
  </si>
  <si>
    <t xml:space="preserve">Weight shifts in handstand</t>
  </si>
  <si>
    <t xml:space="preserve">In a wall handstand, shift weight gently from hand to hand.</t>
  </si>
  <si>
    <t xml:space="preserve">Pivot turns</t>
  </si>
  <si>
    <t xml:space="preserve">Practise small hand-walking turns in a handstand with a coach nearby.</t>
  </si>
  <si>
    <t xml:space="preserve">Wrist and shoulder warm-up</t>
  </si>
  <si>
    <t xml:space="preserve">Wrist circles and shoulder rolls before training; wrists carry the body's weight.</t>
  </si>
  <si>
    <t xml:space="preserve">Baby freeze and chair freeze holds</t>
  </si>
  <si>
    <t xml:space="preserve">Hold basic freezes to build the strength windmills start from.</t>
  </si>
  <si>
    <t xml:space="preserve">Back rock / backspin practice</t>
  </si>
  <si>
    <t xml:space="preserve">Rock and spin on the upper back with legs wide to feel the roll.</t>
  </si>
  <si>
    <t xml:space="preserve">Single windmill with spot</t>
  </si>
  <si>
    <t xml:space="preserve">The coach helps guide the hips round for one turn on a mat.</t>
  </si>
  <si>
    <t xml:space="preserve">Turtle / elbow freeze hold</t>
  </si>
  <si>
    <t xml:space="preserve">Hold the stall on both hands, then one hand, for a few seconds.</t>
  </si>
  <si>
    <t xml:space="preserve">Wrist circles and rocking onto the palms before training.</t>
  </si>
  <si>
    <t xml:space="preserve">Assisted spin</t>
  </si>
  <si>
    <t xml:space="preserve">Use the free hand to push for small turns on a smooth floor or mat.</t>
  </si>
  <si>
    <t xml:space="preserve">Solo forward rolls down a line</t>
  </si>
  <si>
    <t xml:space="preserve">Roll down a straight line on a mat, chin tucked, and stand up without using the hands.</t>
  </si>
  <si>
    <t xml:space="preserve">Hollow body hold</t>
  </si>
  <si>
    <t xml:space="preserve">Lie on the back, lift the shoulders and legs a little off the floor, press the lower back down and hold for 10 to 20 seconds.</t>
  </si>
  <si>
    <t xml:space="preserve">Partner grip and count practice</t>
  </si>
  <si>
    <t xml:space="preserve">Partners practise the ankle grip and the count while lying still, with no rolling, so the hand positions become automatic.</t>
  </si>
  <si>
    <t xml:space="preserve">Single coached partner roll</t>
  </si>
  <si>
    <t xml:space="preserve">Do one roll at a time with the coach beside the pair before adding more rolls.</t>
  </si>
  <si>
    <t xml:space="preserve">Solo cartwheel on a line</t>
  </si>
  <si>
    <t xml:space="preserve">Cartwheel along a straight line on a mat, hands and feet landing on the line.</t>
  </si>
  <si>
    <t xml:space="preserve">Plank and wall handstand holds</t>
  </si>
  <si>
    <t xml:space="preserve">Hold a straight-arm plank, or a coach-approved wall handstand, to build strong arms for weight on the hands.</t>
  </si>
  <si>
    <t xml:space="preserve">Mirror cartwheels side by side</t>
  </si>
  <si>
    <t xml:space="preserve">Partners cartwheel next to each other without holding on, matching the count, before trying it joined.</t>
  </si>
  <si>
    <t xml:space="preserve">Coached single partner cartwheel</t>
  </si>
  <si>
    <t xml:space="preserve">One joined cartwheel at a time with the coach spotting, before linking them.</t>
  </si>
  <si>
    <t xml:space="preserve">Hollow body and plank holds (flyer)</t>
  </si>
  <si>
    <t xml:space="preserve">Hold a hollow body and a straight plank for 10 to 30 seconds to build the tight body that makes a flyer easy to lift.</t>
  </si>
  <si>
    <t xml:space="preserve">Bodyweight squats and wall sits (base)</t>
  </si>
  <si>
    <t xml:space="preserve">Practise squats with a straight back and knees over the toes to learn to lift with the legs.</t>
  </si>
  <si>
    <t xml:space="preserve">Partner conditioning</t>
  </si>
  <si>
    <t xml:space="preserve">Coach-led partner strength work such as partner push-ups and leg raises before any lifting.</t>
  </si>
  <si>
    <t xml:space="preserve">Low lifts with a spotter</t>
  </si>
  <si>
    <t xml:space="preserve">Practise entries and exits at low height with the coach or a third dancer spotting before going higher.</t>
  </si>
  <si>
    <t xml:space="preserve">Count and call practice</t>
  </si>
  <si>
    <t xml:space="preserve">Pairs practise saying the count and a clear "down" call so that either partner can stop the lift safely.</t>
  </si>
  <si>
    <t xml:space="preserve">Lie on the back with shoulders and legs slightly lifted and the lower back pressed down; hold 10 to 20 seconds.</t>
  </si>
  <si>
    <t xml:space="preserve">Plank hold</t>
  </si>
  <si>
    <t xml:space="preserve">Hold a straight-arm plank to build the arm and core strength used in most partner acro.</t>
  </si>
  <si>
    <t xml:space="preserve">Coach-led partner practice</t>
  </si>
  <si>
    <t xml:space="preserve">Learn the move step by step in class with the coach once the teacher has explained it.</t>
  </si>
  <si>
    <t xml:space="preserve">Plank hold (flyer)</t>
  </si>
  <si>
    <t xml:space="preserve">Hold a straight plank to practise the tight body the flyer needs.</t>
  </si>
  <si>
    <t xml:space="preserve">Legs-up hold (base)</t>
  </si>
  <si>
    <t xml:space="preserve">Lie on the back and hold the legs straight up over the hips to practise the base's L shape.</t>
  </si>
  <si>
    <t xml:space="preserve">Standing plank presses</t>
  </si>
  <si>
    <t xml:space="preserve">Partners practise the lean and hand connection from standing before any lifting, as in beginner AcroYoga progressions.</t>
  </si>
  <si>
    <t xml:space="preserve">Spotted airplane hold</t>
  </si>
  <si>
    <t xml:space="preserve">Hold the airplane for a few seconds with a spotter beside the pair, hands near the flyer's hips.</t>
  </si>
  <si>
    <t xml:space="preserve">Table hold (base)</t>
  </si>
  <si>
    <t xml:space="preserve">Hold a flat-back table on hands and knees for 20 to 30 seconds without the back sagging.</t>
  </si>
  <si>
    <t xml:space="preserve">Cartwheel along a straight line on a mat to make the flyer's cartwheel reliable before adding a partner.</t>
  </si>
  <si>
    <t xml:space="preserve">Hand placement walk-through</t>
  </si>
  <si>
    <t xml:space="preserve">With the coach, the flyer practises placing her hands on the table base with no cartwheel, to learn the right spots.</t>
  </si>
  <si>
    <t xml:space="preserve">Coach-spotted attempts</t>
  </si>
  <si>
    <t xml:space="preserve">Full attempts over the base with the coach spotting until the teacher says the pair is ready.</t>
  </si>
  <si>
    <t xml:space="preserve">Aimed jumps to a spot</t>
  </si>
  <si>
    <t xml:space="preserve">Jump from a marked take-off spot to a marked landing spot with a tight body, to make the jump predictable.</t>
  </si>
  <si>
    <t xml:space="preserve">Squats and wall sits (catcher)</t>
  </si>
  <si>
    <t xml:space="preserve">Build the leg strength to take weight in bent knees with an upright back.</t>
  </si>
  <si>
    <t xml:space="preserve">Assisted lift without the jump</t>
  </si>
  <si>
    <t xml:space="preserve">Practise the catch position and set-down as a simple supported lift, with no jump, under the coach's eye.</t>
  </si>
  <si>
    <t xml:space="preserve">Small jumps into the catch</t>
  </si>
  <si>
    <t xml:space="preserve">Add small, slow jumps into the catch with a spotter, then build height only when the coach agrees.</t>
  </si>
  <si>
    <t xml:space="preserve">Hollow body and plank holds</t>
  </si>
  <si>
    <t xml:space="preserve">Build the tight body line a flyer needs with short holds.</t>
  </si>
  <si>
    <t xml:space="preserve">Squats (base)</t>
  </si>
  <si>
    <t xml:space="preserve">Build leg strength with straight-back squats.</t>
  </si>
  <si>
    <t xml:space="preserve">Coach-led progression</t>
  </si>
  <si>
    <t xml:space="preserve">Learn the entry, hold and exit in stages in class once the teacher has explained the move.</t>
  </si>
  <si>
    <t xml:space="preserve">Kind</t>
  </si>
  <si>
    <t xml:space="preserve">Title (click to open)</t>
  </si>
  <si>
    <t xml:space="preserve">Source</t>
  </si>
  <si>
    <t xml:space="preserve">URL</t>
  </si>
  <si>
    <t xml:space="preserve">video</t>
  </si>
  <si>
    <t xml:space="preserve">Handstand Basics for Kids with Coaches Becky and Ethan</t>
  </si>
  <si>
    <t xml:space="preserve">YouTube</t>
  </si>
  <si>
    <t xml:space="preserve">https://www.youtube.com/watch?v=OwkGFmrWU2U</t>
  </si>
  <si>
    <t xml:space="preserve">The Handstand Shapes YOU Should Be Training</t>
  </si>
  <si>
    <t xml:space="preserve">https://www.youtube.com/watch?v=UbgxEc4o-i8</t>
  </si>
  <si>
    <t xml:space="preserve">HOW TO HANDSTAND WALK. DRILLS, TIPS AND TRICKS TO LEARN FAST!</t>
  </si>
  <si>
    <t xml:space="preserve">https://www.youtube.com/watch?v=7I2TEyZl22s</t>
  </si>
  <si>
    <t xml:space="preserve">article</t>
  </si>
  <si>
    <t xml:space="preserve">Handstand (stag and other variations)</t>
  </si>
  <si>
    <t xml:space="preserve">Wikiversity</t>
  </si>
  <si>
    <t xml:space="preserve">https://en.wikiversity.org/wiki/Handstand</t>
  </si>
  <si>
    <t xml:space="preserve">Discover the Dynamic Levels of Acro Dance at Acrobatic Arts</t>
  </si>
  <si>
    <t xml:space="preserve">Acrobatic Arts</t>
  </si>
  <si>
    <t xml:space="preserve">https://www.acrobaticarts.com/blog/discover-the-dynamic-levels-of-acro-dance-at-acrobatic-arts</t>
  </si>
  <si>
    <t xml:space="preserve">pinterest</t>
  </si>
  <si>
    <t xml:space="preserve">Handstand drills (gymnastics) ideas</t>
  </si>
  <si>
    <t xml:space="preserve">Pinterest</t>
  </si>
  <si>
    <t xml:space="preserve">https://www.pinterest.com/ideas/handstand-drills-gymnastics/930342745762/</t>
  </si>
  <si>
    <t xml:space="preserve">Mini acro drills board</t>
  </si>
  <si>
    <t xml:space="preserve">https://au.pinterest.com/caitlinmrnjavac/mini-acro-drills/</t>
  </si>
  <si>
    <t xml:space="preserve">Gymnastics for kids: How to Do A Handstand</t>
  </si>
  <si>
    <t xml:space="preserve">https://www.youtube.com/watch?v=1WRcfLWlONQ&amp;pp=0gcJCdgAo7VqN5tD</t>
  </si>
  <si>
    <t xml:space="preserve">4 Drills for Getting Stronger and Better at Handstands</t>
  </si>
  <si>
    <t xml:space="preserve">Breaking Muscle</t>
  </si>
  <si>
    <t xml:space="preserve">https://breakingmuscle.com/4-drills-for-getting-stronger-and-better-at-handstands/</t>
  </si>
  <si>
    <t xml:space="preserve">Handstand Drills</t>
  </si>
  <si>
    <t xml:space="preserve">Lost Art of Handbalancing</t>
  </si>
  <si>
    <t xml:space="preserve">https://lostartofhandbalancing.com/handstand-drills/</t>
  </si>
  <si>
    <t xml:space="preserve">Handstand pops!</t>
  </si>
  <si>
    <t xml:space="preserve">Acrobatic Arts (YouTube)</t>
  </si>
  <si>
    <t xml:space="preserve">https://www.youtube.com/shorts/WP9Hk5RzoME</t>
  </si>
  <si>
    <t xml:space="preserve">How To Do A Cartwheel Quick Version With Coach Meggin!</t>
  </si>
  <si>
    <t xml:space="preserve">Coach Meggin (YouTube)</t>
  </si>
  <si>
    <t xml:space="preserve">https://www.youtube.com/watch?v=kPTrsUS0rpQ</t>
  </si>
  <si>
    <t xml:space="preserve">Teach your Kid a Cartwheel!</t>
  </si>
  <si>
    <t xml:space="preserve">https://www.youtube.com/watch?v=QQH0udeM5s8</t>
  </si>
  <si>
    <t xml:space="preserve">ACROBATICS Tutorial - One-Handed CARTWHEEL</t>
  </si>
  <si>
    <t xml:space="preserve">https://www.youtube.com/watch?v=kCoDa9GdtQM</t>
  </si>
  <si>
    <t xml:space="preserve">Learn how to do a Heli Cartwheel</t>
  </si>
  <si>
    <t xml:space="preserve">https://www.youtube.com/watch?v=pmiddNiBmcU</t>
  </si>
  <si>
    <t xml:space="preserve">Ep. 111 Teaching the Heli: Tips Every Teacher Needs with Leah Holliday</t>
  </si>
  <si>
    <t xml:space="preserve">Acrobatic Arts Podcast</t>
  </si>
  <si>
    <t xml:space="preserve">https://www.podserve.fm/series/website/the-acrobatic-arts-podcast,2119/191823</t>
  </si>
  <si>
    <t xml:space="preserve">Cartwheel drills for clean tumbling</t>
  </si>
  <si>
    <t xml:space="preserve">https://www.pinterest.com/pin/cartwheel-drills-for-clean-tumbling--812477589026047331/</t>
  </si>
  <si>
    <t xml:space="preserve">Cartwheels / drills for beginners board</t>
  </si>
  <si>
    <t xml:space="preserve">https://es.pinterest.com/mjl8/cartwheelsdrills-for-beginners/</t>
  </si>
  <si>
    <t xml:space="preserve">Steps For How To Do A Round Off With Coach Meggin!</t>
  </si>
  <si>
    <t xml:space="preserve">https://www.youtube.com/watch?v=1ojiqZQPkPA</t>
  </si>
  <si>
    <t xml:space="preserve">How to do a Round-Off for Gymnasts &amp; Cheerleaders</t>
  </si>
  <si>
    <t xml:space="preserve">https://www.youtube.com/watch?v=26KZw_tOu8k</t>
  </si>
  <si>
    <t xml:space="preserve">Round Off/ Round Off Back Handspring Drill With Coach Meggin!</t>
  </si>
  <si>
    <t xml:space="preserve">https://www.youtube.com/watch?v=XWXQF_5TUwM</t>
  </si>
  <si>
    <t xml:space="preserve">Roundoff</t>
  </si>
  <si>
    <t xml:space="preserve">Wikipedia</t>
  </si>
  <si>
    <t xml:space="preserve">https://en.wikipedia.org/wiki/Roundoff</t>
  </si>
  <si>
    <t xml:space="preserve">Cartwheel drills for round-off</t>
  </si>
  <si>
    <t xml:space="preserve">https://www.pinterest.com/pin/24277285478051706/</t>
  </si>
  <si>
    <t xml:space="preserve">Cartwheel &amp; round-off drills (video)</t>
  </si>
  <si>
    <t xml:space="preserve">https://www.pinterest.com/pin/830210512563557119/</t>
  </si>
  <si>
    <t xml:space="preserve">How To Do A Bridge And Backbend Kickover With Coach Meggin</t>
  </si>
  <si>
    <t xml:space="preserve">https://www.youtube.com/watch?v=Aa73IgY6nbg</t>
  </si>
  <si>
    <t xml:space="preserve">How To Do A Front Walkover With Coach Meggin!</t>
  </si>
  <si>
    <t xml:space="preserve">https://www.youtube.com/watch?v=CFPu4Ws1Ig4</t>
  </si>
  <si>
    <t xml:space="preserve">How To Do A Back Walkover With Good Technique And Coach Meggin!</t>
  </si>
  <si>
    <t xml:space="preserve">https://www.youtube.com/watch?v=lm_tefFVP_M</t>
  </si>
  <si>
    <t xml:space="preserve">Learn how to Dive Front Walkover with Jordan Clark!</t>
  </si>
  <si>
    <t xml:space="preserve">https://www.youtube.com/watch?v=dx8Bfw_3LcY</t>
  </si>
  <si>
    <t xml:space="preserve">How To Teach an Aerial In Acro Dance</t>
  </si>
  <si>
    <t xml:space="preserve">YouTube (ADTA 4-step system)</t>
  </si>
  <si>
    <t xml:space="preserve">https://www.youtube.com/watch?v=hhlOR-vRXPQ</t>
  </si>
  <si>
    <t xml:space="preserve">How to do a front walkover step by step (ideas)</t>
  </si>
  <si>
    <t xml:space="preserve">https://www.pinterest.com/ideas/how-to-do-a-front-walkover-step-by-step/918305243269/</t>
  </si>
  <si>
    <t xml:space="preserve">Back walkover tutorial (clip)</t>
  </si>
  <si>
    <t xml:space="preserve">https://ph.pinterest.com/pin/903745850218603983/</t>
  </si>
  <si>
    <t xml:space="preserve">https://en.wikipedia.org/wiki/Front_limber</t>
  </si>
  <si>
    <t xml:space="preserve">Front Limber Tutorial</t>
  </si>
  <si>
    <t xml:space="preserve">https://www.youtube.com/watch?v=fNllJ19vpSc</t>
  </si>
  <si>
    <t xml:space="preserve">How to do a Front Limber for Beginners</t>
  </si>
  <si>
    <t xml:space="preserve">https://www.youtube.com/watch?v=PPbRiVYTKAo&amp;pp=0gcJCa0JAYcqIYzv</t>
  </si>
  <si>
    <t xml:space="preserve">Floor acro board</t>
  </si>
  <si>
    <t xml:space="preserve">https://uk.pinterest.com/lifeiskindaboringlyrated/floor-acro/</t>
  </si>
  <si>
    <t xml:space="preserve">ELBOW STAND Tutorial - Artistic Gymnastics</t>
  </si>
  <si>
    <t xml:space="preserve">oneHOWTO Sports (YouTube)</t>
  </si>
  <si>
    <t xml:space="preserve">https://www.youtube.com/watch?v=o32RNvuKHWw</t>
  </si>
  <si>
    <t xml:space="preserve">How to do an elbow or forearm stand</t>
  </si>
  <si>
    <t xml:space="preserve">https://www.youtube.com/watch?v=TuTph75tT5w</t>
  </si>
  <si>
    <t xml:space="preserve">Hollowback Forearmstand</t>
  </si>
  <si>
    <t xml:space="preserve">Yoga International</t>
  </si>
  <si>
    <t xml:space="preserve">https://yogainternational.com/article/view/hollowback-forearmstand</t>
  </si>
  <si>
    <t xml:space="preserve">Pose Breakdown: Forearm Hollow Back Pose</t>
  </si>
  <si>
    <t xml:space="preserve">Alo Moves</t>
  </si>
  <si>
    <t xml:space="preserve">https://blog.alomoves.com/movement/pose-breakdown-forearm-hollow-back-pose</t>
  </si>
  <si>
    <t xml:space="preserve">Gymnastics: How To Do A Tick Tock With Coach Meggin</t>
  </si>
  <si>
    <t xml:space="preserve">https://www.youtube.com/watch?v=KAXEWFXqCHo</t>
  </si>
  <si>
    <t xml:space="preserve">How to do an elbow stand (ideas)</t>
  </si>
  <si>
    <t xml:space="preserve">https://in.pinterest.com/ideas/how-to-do-a-elbow-stand/932614105752/</t>
  </si>
  <si>
    <t xml:space="preserve">Elbow stand tutorial (clip)</t>
  </si>
  <si>
    <t xml:space="preserve">https://mx.pinterest.com/pin/646336984058576016/</t>
  </si>
  <si>
    <t xml:space="preserve">Elbow stand in attitude</t>
  </si>
  <si>
    <t xml:space="preserve">https://www.pinterest.com/pin/2814818504816477/</t>
  </si>
  <si>
    <t xml:space="preserve">HOW TO: ELBOW CARTWHEEL | THE BASICS</t>
  </si>
  <si>
    <t xml:space="preserve">https://www.youtube.com/watch?v=Kqvk746jGzA</t>
  </si>
  <si>
    <t xml:space="preserve">Elbow Cartwheels - Gymnastics and Dance Tutorial</t>
  </si>
  <si>
    <t xml:space="preserve">https://www.youtube.com/watch?v=VCsYKKh-I4c</t>
  </si>
  <si>
    <t xml:space="preserve">Acro Elbow Cartwheel</t>
  </si>
  <si>
    <t xml:space="preserve">https://www.youtube.com/watch?v=HOIQIrCgIWw</t>
  </si>
  <si>
    <t xml:space="preserve">Headstand Progressions for Beginners</t>
  </si>
  <si>
    <t xml:space="preserve">https://www.acrobaticarts.com/blog/headstand-progressions-for-beginners</t>
  </si>
  <si>
    <t xml:space="preserve">Stuck at home - Gymnastics coach teaches step by step how to learn a headstand?</t>
  </si>
  <si>
    <t xml:space="preserve">https://www.youtube.com/watch?v=rSyWx_cG-Ns</t>
  </si>
  <si>
    <t xml:space="preserve">Head Over Heels Gymnastics Tutorials, Learn a Headstand</t>
  </si>
  <si>
    <t xml:space="preserve">Head Over Heels Gymnastics (YouTube)</t>
  </si>
  <si>
    <t xml:space="preserve">https://www.youtube.com/watch?v=MKFo19bn1kE</t>
  </si>
  <si>
    <t xml:space="preserve">Head Over Heels Gymnastics Tutorials, Straddle and Pike Headstands</t>
  </si>
  <si>
    <t xml:space="preserve">https://www.youtube.com/watch?v=VN2LD7EWjpU</t>
  </si>
  <si>
    <t xml:space="preserve">Headstands: They're Not Just For Yogis</t>
  </si>
  <si>
    <t xml:space="preserve">12 Minute Athlete</t>
  </si>
  <si>
    <t xml:space="preserve">https://www.12minuteathlete.com/headstands/</t>
  </si>
  <si>
    <t xml:space="preserve">Gymnastics: Head Spring (Progressions)</t>
  </si>
  <si>
    <t xml:space="preserve">Sportplan</t>
  </si>
  <si>
    <t xml:space="preserve">https://www.sportplan.net/drills/Gymnastics/short-head-spring/Head-Spring-Progressions-gymc95.jsp</t>
  </si>
  <si>
    <t xml:space="preserve">TEACH YOUR GYMNAST A HEADSPRING WITH MATT JACKSON</t>
  </si>
  <si>
    <t xml:space="preserve">https://www.youtube.com/watch?v=FRIwhB1Nc68</t>
  </si>
  <si>
    <t xml:space="preserve">Front Handspring, Headspring and Bounder Progressions</t>
  </si>
  <si>
    <t xml:space="preserve">https://www.youtube.com/watch?v=6zDK0P9Vv9s</t>
  </si>
  <si>
    <t xml:space="preserve">Headspring Tutorial - Wushu &amp; Parkour + Headspring without Hands</t>
  </si>
  <si>
    <t xml:space="preserve">https://www.youtube.com/watch?v=E-nKUgjB06g</t>
  </si>
  <si>
    <t xml:space="preserve">How to do the Headspring</t>
  </si>
  <si>
    <t xml:space="preserve">https://lostartofhandbalancing.com/how-to-do-the-headspring</t>
  </si>
  <si>
    <t xml:space="preserve">How to do a headspring (video)</t>
  </si>
  <si>
    <t xml:space="preserve">https://www.pinterest.com/pin/481814860127733541/</t>
  </si>
  <si>
    <t xml:space="preserve">Kip-up</t>
  </si>
  <si>
    <t xml:space="preserve">https://en.wikipedia.org/wiki/Kip-up</t>
  </si>
  <si>
    <t xml:space="preserve">How To Do a Kip Up</t>
  </si>
  <si>
    <t xml:space="preserve">https://lostartofhandbalancing.com/how-to-do-a-kip-up/</t>
  </si>
  <si>
    <t xml:space="preserve">HOW TO KIP UP FOR BEGINNERS: Kip Up Tutorial with Step by Step Progression</t>
  </si>
  <si>
    <t xml:space="preserve">https://www.youtube.com/watch?v=kC61MUUW2zY</t>
  </si>
  <si>
    <t xml:space="preserve">Kip Up / Kick Up - Tutorial</t>
  </si>
  <si>
    <t xml:space="preserve">https://www.youtube.com/watch?v=_9yRdLJQwFA</t>
  </si>
  <si>
    <t xml:space="preserve">Kip up / kick up tutorial (video)</t>
  </si>
  <si>
    <t xml:space="preserve">https://www.pinterest.com/pin/kip-up-kick-up-tutorial--838091811931047756/</t>
  </si>
  <si>
    <t xml:space="preserve">How to Do an Aerial Cartwheel (Step-by-Step + Drills)</t>
  </si>
  <si>
    <t xml:space="preserve">GymnasticsHQ</t>
  </si>
  <si>
    <t xml:space="preserve">https://gymnasticshq.com/how-to-do-an-aerial-cartwheel/</t>
  </si>
  <si>
    <t xml:space="preserve">video – aerial cartwheel tutorial</t>
  </si>
  <si>
    <t xml:space="preserve">GymnasticsCoaching.com</t>
  </si>
  <si>
    <t xml:space="preserve">https://gymnasticscoaching.com/2007/05/23/video-aerial-cartwheel-tutorial/</t>
  </si>
  <si>
    <t xml:space="preserve">How To Do An Aerial (No Handed Cartwheel) For Beginners</t>
  </si>
  <si>
    <t xml:space="preserve">https://www.youtube.com/watch?v=0SVcpkJhyws</t>
  </si>
  <si>
    <t xml:space="preserve">Acrobatic Arts: Aerial and Back Handspring Workshop</t>
  </si>
  <si>
    <t xml:space="preserve">https://www.acrobaticarts.com/training-courses/aerial-and-back-handspring-workshop</t>
  </si>
  <si>
    <t xml:space="preserve">How to aerial: a guide for athletes and coaches</t>
  </si>
  <si>
    <t xml:space="preserve">https://www.pinterest.com/pin/398216792074607635/</t>
  </si>
  <si>
    <t xml:space="preserve">Aerial cartwheel drills (ideas)</t>
  </si>
  <si>
    <t xml:space="preserve">https://www.pinterest.com/ideas/aerial-cartwheel-drills/936748209003/</t>
  </si>
  <si>
    <t xml:space="preserve">HOW TO LEARN TO DO A FRONT AERIAL - FRONT AERIAL TUTORIAL - Gymnastics and Cheer Tutorials</t>
  </si>
  <si>
    <t xml:space="preserve">https://www.youtube.com/watch?v=aytOgW5KbGI</t>
  </si>
  <si>
    <t xml:space="preserve">Front Aerial Training #TipsWithCoachK</t>
  </si>
  <si>
    <t xml:space="preserve">https://www.youtube.com/watch?v=JFkZPumNRRE</t>
  </si>
  <si>
    <t xml:space="preserve">How To Do A Front Aerial</t>
  </si>
  <si>
    <t xml:space="preserve">https://www.youtube.com/watch?v=WWqnHfAL4J0</t>
  </si>
  <si>
    <t xml:space="preserve">Tumbling Skills in Order: Full Progression (Easy to Hard)</t>
  </si>
  <si>
    <t xml:space="preserve">https://gymnasticshq.com/tumbling-skills-in-order-the-full-progression-from-easy-to-hard/</t>
  </si>
  <si>
    <t xml:space="preserve">How to Do a Forward Roll in Gymnastics</t>
  </si>
  <si>
    <t xml:space="preserve">https://gymnasticshq.com/how-to-do-a-forward-roll-in-gymnastics/</t>
  </si>
  <si>
    <t xml:space="preserve">Forward Roll skills card (PDST)</t>
  </si>
  <si>
    <t xml:space="preserve">PDST / Scoilnet</t>
  </si>
  <si>
    <t xml:space="preserve">https://www.scoilnet.ie/fileadmin/user_upload/PDST/7_-_Forward_Roll_-_PRINT.pdf</t>
  </si>
  <si>
    <t xml:space="preserve">Gymnastics: Handstand Forward Roll With Bent and Straight Arms Tutorial With Coach Meggin</t>
  </si>
  <si>
    <t xml:space="preserve">https://www.youtube.com/watch?v=23IKGnbplVE</t>
  </si>
  <si>
    <t xml:space="preserve">How To Do A Swan Dive Roll With Coach Meggin (Professional Gymnastics Coach)</t>
  </si>
  <si>
    <t xml:space="preserve">https://www.youtube.com/watch?v=snyOHi7jxAw</t>
  </si>
  <si>
    <t xml:space="preserve">How to do a Dive Roll - Learn Tricking</t>
  </si>
  <si>
    <t xml:space="preserve">https://www.youtube.com/watch?v=m7wNLOlh5Mo</t>
  </si>
  <si>
    <t xml:space="preserve">How to do a forward roll (beginner video)</t>
  </si>
  <si>
    <t xml:space="preserve">https://www.pinterest.com/pin/how-to-do-a-forward-roll-beginner-gymnastics-tutorial--269160515223093719/</t>
  </si>
  <si>
    <t xml:space="preserve">Dive roll drills</t>
  </si>
  <si>
    <t xml:space="preserve">https://www.pinterest.com/pin/275282595948633944/</t>
  </si>
  <si>
    <t xml:space="preserve">Penche Roll #flip #acrobatics #acro</t>
  </si>
  <si>
    <t xml:space="preserve">https://www.youtube.com/watch?v=b6Shf0pFH5A</t>
  </si>
  <si>
    <t xml:space="preserve">HOW TO DO CHEST ROLLS FOR DANCE, ACROBATICS, AND GYMNASTICS</t>
  </si>
  <si>
    <t xml:space="preserve">https://www.youtube.com/watch?v=oKTndo2Kuk4</t>
  </si>
  <si>
    <t xml:space="preserve">Baby Crow to Full Crow Pose</t>
  </si>
  <si>
    <t xml:space="preserve">https://www.youtube.com/watch?v=ya86HxB8MDI</t>
  </si>
  <si>
    <t xml:space="preserve">HOW TO DO A CROW POSE FOR BEGINNERS - TIPS &amp; TRICKS TUTORIAL FOR CROW POSE</t>
  </si>
  <si>
    <t xml:space="preserve">https://www.youtube.com/watch?v=MgG4TuX5Jzg</t>
  </si>
  <si>
    <t xml:space="preserve">Calisthenics Skills Anyone Can Learn: The Crow Pose</t>
  </si>
  <si>
    <t xml:space="preserve">https://www.youtube.com/watch?v=Q5wCVzRqaPY</t>
  </si>
  <si>
    <t xml:space="preserve">The Fish Roll/Flop Tutorial and Demonstration from Just For Kix</t>
  </si>
  <si>
    <t xml:space="preserve">Just For Kix (YouTube)</t>
  </si>
  <si>
    <t xml:space="preserve">https://www.youtube.com/watch?v=MKcgAyfbdZY</t>
  </si>
  <si>
    <t xml:space="preserve">Different Dance Rolls- Demonstration and Tutorial</t>
  </si>
  <si>
    <t xml:space="preserve">https://www.youtube.com/watch?v=Kh8FMlMs1sI</t>
  </si>
  <si>
    <t xml:space="preserve">Basic Shoulder Roll on the Floor</t>
  </si>
  <si>
    <t xml:space="preserve">https://www.youtube.com/watch?v=yjl1pyz8ByM</t>
  </si>
  <si>
    <t xml:space="preserve">Backwards Shoulder Roll Tutorial-aka. Fish Flop</t>
  </si>
  <si>
    <t xml:space="preserve">https://www.youtube.com/watch?v=JS0bPvfR5gg</t>
  </si>
  <si>
    <t xml:space="preserve">How to Do a Backward Roll in Gymnastics</t>
  </si>
  <si>
    <t xml:space="preserve">https://gymnasticshq.com/how-to-do-a-backward-roll-in-gymnastics/</t>
  </si>
  <si>
    <t xml:space="preserve">How to Do a Back Extension Roll</t>
  </si>
  <si>
    <t xml:space="preserve">https://gymnasticshq.com/how-to-do-a-back-extension-roll/</t>
  </si>
  <si>
    <t xml:space="preserve">Head Over Heels Gymnastics Tutorials, Learn how to do a Backwards Roll.</t>
  </si>
  <si>
    <t xml:space="preserve">https://www.youtube.com/watch?v=U_scqEjjZbM</t>
  </si>
  <si>
    <t xml:space="preserve">How to: Backwards Roll to Straddle Stand - Badge 7</t>
  </si>
  <si>
    <t xml:space="preserve">Star-Tastic Gymnastics (YouTube)</t>
  </si>
  <si>
    <t xml:space="preserve">https://www.youtube.com/watch?v=gLQxfc7NK4A</t>
  </si>
  <si>
    <t xml:space="preserve">Back Extension Roll Drill for Beginners</t>
  </si>
  <si>
    <t xml:space="preserve">Tumbl Trak</t>
  </si>
  <si>
    <t xml:space="preserve">https://www.tumbltrak.com/back-extension-roll-drill-for-beginners-training-tip/</t>
  </si>
  <si>
    <t xml:space="preserve">Gymnastics at Home for Beginners: A Full Follow-Along Class (No Equipment Needed)</t>
  </si>
  <si>
    <t xml:space="preserve">https://gymnasticshq.com/gymnastics-at-home-for-beginners-a-full-follow-along-class-no-equipment-needed/</t>
  </si>
  <si>
    <t xml:space="preserve">Shoulder stand or candle</t>
  </si>
  <si>
    <t xml:space="preserve">Xunta de Galicia education resources</t>
  </si>
  <si>
    <t xml:space="preserve">https://recursos.edu.xunta.gal/sites/default/files/recurso/1606139941/unit_5/55__shoulder_stand_or_candle.html</t>
  </si>
  <si>
    <t xml:space="preserve">Candlestick Conditioning Drills</t>
  </si>
  <si>
    <t xml:space="preserve">CrossFit</t>
  </si>
  <si>
    <t xml:space="preserve">https://www.crossfit.com/essentials/candlestick-drills</t>
  </si>
  <si>
    <t xml:space="preserve">Safety Guidelines for implementing chest stands into dance (PDF)</t>
  </si>
  <si>
    <t xml:space="preserve">https://www.acrobaticarts.com/upload/webpage/custompage/87/cheststandsmay2020.pdf</t>
  </si>
  <si>
    <t xml:space="preserve">Skill Highlight: Chest Rolls</t>
  </si>
  <si>
    <t xml:space="preserve">https://www.youtube.com/shorts/3tz-GqaFQEk</t>
  </si>
  <si>
    <t xml:space="preserve">Chest/Chin Stand Tutorial</t>
  </si>
  <si>
    <t xml:space="preserve">YouTube (individual creator, not a certified body)</t>
  </si>
  <si>
    <t xml:space="preserve">https://www.youtube.com/watch?v=oPem4wiWVXs</t>
  </si>
  <si>
    <t xml:space="preserve">How To Do A Valdez (Gymnastics Bridge Move) With Coach Meggin!</t>
  </si>
  <si>
    <t xml:space="preserve">https://www.youtube.com/watch?v=aEj3l_GnrOM</t>
  </si>
  <si>
    <t xml:space="preserve">Skill Highlight: Valdez</t>
  </si>
  <si>
    <t xml:space="preserve">https://www.youtube.com/shorts/WDXKz6w0ndg</t>
  </si>
  <si>
    <t xml:space="preserve">Teaching Valdez (coaches' forum thread)</t>
  </si>
  <si>
    <t xml:space="preserve">ChalkBucket coaches' forum</t>
  </si>
  <si>
    <t xml:space="preserve">https://chalkbucket.com/threads/teaching-valdez.47540/latest</t>
  </si>
  <si>
    <t xml:space="preserve">How to Do a Back Walkover: Step-by-Step + Drills</t>
  </si>
  <si>
    <t xml:space="preserve">Gymnastics HQ</t>
  </si>
  <si>
    <t xml:space="preserve">https://gymnasticshq.com/how-to-do-a-back-walkover/</t>
  </si>
  <si>
    <t xml:space="preserve">How to do a Valdez (ideas)</t>
  </si>
  <si>
    <t xml:space="preserve">https://www.pinterest.com/ideas/how-to-do-a-valdez/955843572840/</t>
  </si>
  <si>
    <t xml:space="preserve">Valdez tutorial (clip)</t>
  </si>
  <si>
    <t xml:space="preserve">https://in.pinterest.com/pin/dance-move-gymnastics-tutorial-valdez--373165519095993905/</t>
  </si>
  <si>
    <t xml:space="preserve">Quick Rolling tinsica aka spider Acro trick tutorial</t>
  </si>
  <si>
    <t xml:space="preserve">https://www.youtube.com/watch?v=Q5vKA9NNpTo</t>
  </si>
  <si>
    <t xml:space="preserve">How To Do A Spider Advanced Acro Trick</t>
  </si>
  <si>
    <t xml:space="preserve">https://www.youtube.com/watch?v=qSQHbFjjPL8</t>
  </si>
  <si>
    <t xml:space="preserve">AY Honor Tumbling &amp; Balancing - Advanced: Answer Key (tinsica description)</t>
  </si>
  <si>
    <t xml:space="preserve">Pathfinders Online wiki</t>
  </si>
  <si>
    <t xml:space="preserve">https://www.wiki.pathfindersonline.org/w/AY_Honors/Tumbling_%26_Balancing_-_Advanced/Answer_Key</t>
  </si>
  <si>
    <t xml:space="preserve">2027 Acrobatic Skill Set Guidelines (lists tinsica and Valdez by level)</t>
  </si>
  <si>
    <t xml:space="preserve">Rainbow Dance Competition</t>
  </si>
  <si>
    <t xml:space="preserve">https://rainbowdance.com/public/docs/2027_Acrobatic_Skill_Set_Guidelines.pdf</t>
  </si>
  <si>
    <t xml:space="preserve">Spider / rolling tinsica tutorial (video)</t>
  </si>
  <si>
    <t xml:space="preserve">https://www.pinterest.com/pin/176625616634211605/</t>
  </si>
  <si>
    <t xml:space="preserve">How to do a spider cartwheel (ideas)</t>
  </si>
  <si>
    <t xml:space="preserve">https://www.pinterest.com/ideas/how-to-do-a-spider-cartwheel/911772184096/</t>
  </si>
  <si>
    <t xml:space="preserve">How to Do a Front Tuck: Drills and Exercises to learn a Front Flip in Gymnastics</t>
  </si>
  <si>
    <t xml:space="preserve">https://gymnasticshq.com/how-to-do-a-front-tuck/</t>
  </si>
  <si>
    <t xml:space="preserve">How To Do A Running Punch Front Tuck/Flip With Coach Meggin!</t>
  </si>
  <si>
    <t xml:space="preserve">https://www.youtube.com/watch?v=xZL4gV4coS8</t>
  </si>
  <si>
    <t xml:space="preserve">Improve Your Front Handspring And Front Tuck Flip With Coach Meggin!</t>
  </si>
  <si>
    <t xml:space="preserve">https://www.youtube.com/watch?v=nQErp4EdybI</t>
  </si>
  <si>
    <t xml:space="preserve">Webster (trick description)</t>
  </si>
  <si>
    <t xml:space="preserve">Loopkicks Tricking</t>
  </si>
  <si>
    <t xml:space="preserve">https://www.loopkickstricking.com/tricks/webster</t>
  </si>
  <si>
    <t xml:space="preserve">Back Tuck Drills &amp; Shaping Ideas For Cheer &amp; Gymnastics</t>
  </si>
  <si>
    <t xml:space="preserve">YouTube (coach channel, not confirmed)</t>
  </si>
  <si>
    <t xml:space="preserve">https://www.youtube.com/watch?v=z24WWQfE8c0</t>
  </si>
  <si>
    <t xml:space="preserve">How to Do a Standing Back Tuck: Tutorial!! Everyday Gymnastics</t>
  </si>
  <si>
    <t xml:space="preserve">Everyday Gymnastics (YouTube)</t>
  </si>
  <si>
    <t xml:space="preserve">https://www.youtube.com/watch?v=whuRt1G008s</t>
  </si>
  <si>
    <t xml:space="preserve">How to Do a Front Handspring: Drills and Exercises to Help you Learn</t>
  </si>
  <si>
    <t xml:space="preserve">https://gymnasticshq.com/how-to-do-a-front-handspring/</t>
  </si>
  <si>
    <t xml:space="preserve">How to Do a Back Handspring: Steps, Drills &amp; Fixes</t>
  </si>
  <si>
    <t xml:space="preserve">https://gymnasticshq.com/backhandspring/</t>
  </si>
  <si>
    <t xml:space="preserve">Back Handspring Technique Drill With Coach Meggin!</t>
  </si>
  <si>
    <t xml:space="preserve">https://www.youtube.com/watch?v=IH3YD5U3Alk</t>
  </si>
  <si>
    <t xml:space="preserve">How to Do A Front Handspring Stepout</t>
  </si>
  <si>
    <t xml:space="preserve">https://www.youtube.com/watch?v=tmepbByS4Ak</t>
  </si>
  <si>
    <t xml:space="preserve">Back handspring drills board</t>
  </si>
  <si>
    <t xml:space="preserve">https://www.pinterest.com/kelliott4012/back-handspring-drills/</t>
  </si>
  <si>
    <t xml:space="preserve">How to Do a Round Off Back Handspring (Steps + Drills)</t>
  </si>
  <si>
    <t xml:space="preserve">https://gymnasticshq.com/how-to-do-a-round-off-back-handspring/</t>
  </si>
  <si>
    <t xml:space="preserve">Gymnastics Lesson: How To Do A Round Off Back Handspring With Coach Meggin!</t>
  </si>
  <si>
    <t xml:space="preserve">https://www.youtube.com/watch?v=krA9IDWFRJk</t>
  </si>
  <si>
    <t xml:space="preserve">HOW TO TEACH YOUR GYMNAST AN ARABIAN (for dance acro classes)</t>
  </si>
  <si>
    <t xml:space="preserve">YouTube (acro teacher channel, not confirmed)</t>
  </si>
  <si>
    <t xml:space="preserve">https://www.youtube.com/watch?v=eyWK8vAl79Q</t>
  </si>
  <si>
    <t xml:space="preserve">Gymnastics Floor Skills List (Beginner to Advanced)</t>
  </si>
  <si>
    <t xml:space="preserve">https://gymnasticshq.com/gymnastics-skills-list-floor/</t>
  </si>
  <si>
    <t xml:space="preserve">How To Side Flip - Detailed Flip Tutorial - Tapp Brothers</t>
  </si>
  <si>
    <t xml:space="preserve">Tapp Brothers (YouTube)</t>
  </si>
  <si>
    <t xml:space="preserve">https://www.youtube.com/watch?v=RFTKeJi6D7k</t>
  </si>
  <si>
    <t xml:space="preserve">Round-off back handspring drills</t>
  </si>
  <si>
    <t xml:space="preserve">https://es.pinterest.com/pin/round-off-back-handspring-drills--812477589029643632/</t>
  </si>
  <si>
    <t xml:space="preserve">How to Do a Handstand (Step-by-Step) + Drills &amp; Video</t>
  </si>
  <si>
    <t xml:space="preserve">https://gymnasticshq.com/how-to-do-a-handstand/</t>
  </si>
  <si>
    <t xml:space="preserve">How to Hold a Handstand for a Long Time (4 Tips)</t>
  </si>
  <si>
    <t xml:space="preserve">https://gymnasticshq.com/4-tips-to-hold-your-handstand-longer/</t>
  </si>
  <si>
    <t xml:space="preserve">How To Do A Chest Roll / Chin Stand</t>
  </si>
  <si>
    <t xml:space="preserve">YouTube (channel not confirmed)</t>
  </si>
  <si>
    <t xml:space="preserve">https://www.youtube.com/watch?v=m0qjg36cRm8</t>
  </si>
  <si>
    <t xml:space="preserve">How to chin stand (ideas)</t>
  </si>
  <si>
    <t xml:space="preserve">https://ie.pinterest.com/ideas/how-to-chin-stand/928113617265/</t>
  </si>
  <si>
    <t xml:space="preserve">Bronco (breaking glossary)</t>
  </si>
  <si>
    <t xml:space="preserve">thebreaks.org</t>
  </si>
  <si>
    <t xml:space="preserve">https://thebreaks.org/articles/bronco.html</t>
  </si>
  <si>
    <t xml:space="preserve">Breakdance - Broncos</t>
  </si>
  <si>
    <t xml:space="preserve">https://www.youtube.com/watch?v=crMGg2ZROwA</t>
  </si>
  <si>
    <t xml:space="preserve">How to Breakdance (bronco lesson)</t>
  </si>
  <si>
    <t xml:space="preserve">https://www.youtube.com/watch?v=xhQPNfnjBq0</t>
  </si>
  <si>
    <t xml:space="preserve">Donkey Kick Drill for Handstand Improvement</t>
  </si>
  <si>
    <t xml:space="preserve">CrossFit Invictus</t>
  </si>
  <si>
    <t xml:space="preserve">https://www.crossfitinvictus.com/?p=47339</t>
  </si>
  <si>
    <t xml:space="preserve">Heel Stretch leg hold</t>
  </si>
  <si>
    <t xml:space="preserve">https://www.youtube.com/watch?v=Xt-UW0sLpyg</t>
  </si>
  <si>
    <t xml:space="preserve">How To Do A Leg Hold with @trainwithkendall</t>
  </si>
  <si>
    <t xml:space="preserve">https://www.youtube.com/watch?v=i1wB7k7QqZ0</t>
  </si>
  <si>
    <t xml:space="preserve">How to do a Needle / Straight Leg Scorpion</t>
  </si>
  <si>
    <t xml:space="preserve">https://www.youtube.com/watch?v=phavDNtO3VE</t>
  </si>
  <si>
    <t xml:space="preserve">How to NEEDLE in 5 MINUTES! Straight Scorpion Tutorial (Erica Lin)</t>
  </si>
  <si>
    <t xml:space="preserve">https://www.youtube.com/watch?v=_wgI7bzLg_k</t>
  </si>
  <si>
    <t xml:space="preserve">Acro: Y Stand &amp; Scorpion</t>
  </si>
  <si>
    <t xml:space="preserve">Circomedia</t>
  </si>
  <si>
    <t xml:space="preserve">https://www.circomedia.com/acro-y-stand-scorpion/</t>
  </si>
  <si>
    <t xml:space="preserve">How to do a needle / scorpion: stretches</t>
  </si>
  <si>
    <t xml:space="preserve">https://in.pinterest.com/pin/452189618854309474/</t>
  </si>
  <si>
    <t xml:space="preserve">How to get a perfect scorpion</t>
  </si>
  <si>
    <t xml:space="preserve">https://www.pinterest.com/pin/528047125032747346/</t>
  </si>
  <si>
    <t xml:space="preserve">Freeze (breakdancing move)</t>
  </si>
  <si>
    <t xml:space="preserve">https://en.wikipedia.org/wiki/Freeze_(breakdancing_move)</t>
  </si>
  <si>
    <t xml:space="preserve">Break Advice: Fundamentals (baby, chair, elbow freeze videos)</t>
  </si>
  <si>
    <t xml:space="preserve">Red Bull</t>
  </si>
  <si>
    <t xml:space="preserve">https://www.redbull.com/int-en/break-advice-fundamentals</t>
  </si>
  <si>
    <t xml:space="preserve">BEGINNER BBOY FREEZES TUTORIAL (neutral, baby, shoulder, chair)</t>
  </si>
  <si>
    <t xml:space="preserve">https://m.youtube.com/watch?v=6l_CysJIX8A</t>
  </si>
  <si>
    <t xml:space="preserve">How to do turtles</t>
  </si>
  <si>
    <t xml:space="preserve">BBoy Dojo</t>
  </si>
  <si>
    <t xml:space="preserve">https://bboydojo.com/breaking-training/how-to-do-turtles/</t>
  </si>
  <si>
    <t xml:space="preserve">How to do a shoulder spin (breaking)</t>
  </si>
  <si>
    <t xml:space="preserve">https://redbull.com/in-en/how-to-do-shoulder-spin-breaking</t>
  </si>
  <si>
    <t xml:space="preserve">How to breakdance: freezes board</t>
  </si>
  <si>
    <t xml:space="preserve">https://uk.pinterest.com/easydancehiphop/how-to-breakdance-freezes/</t>
  </si>
  <si>
    <t xml:space="preserve">Baby freeze (video)</t>
  </si>
  <si>
    <t xml:space="preserve">https://cl.pinterest.com/pin/33706697205096077/</t>
  </si>
  <si>
    <t xml:space="preserve">How to do a backspin (beginner guide)</t>
  </si>
  <si>
    <t xml:space="preserve">https://bboydojo.com/?p=8280</t>
  </si>
  <si>
    <t xml:space="preserve">Backspin (breaking glossary)</t>
  </si>
  <si>
    <t xml:space="preserve">https://thebreaks.org/articles/backspin.html</t>
  </si>
  <si>
    <t xml:space="preserve">Learn How To Backspin</t>
  </si>
  <si>
    <t xml:space="preserve">https://www.youtube.com/watch?v=izg50nID8as</t>
  </si>
  <si>
    <t xml:space="preserve">Breakdancing Moves: How To Do A Backspin</t>
  </si>
  <si>
    <t xml:space="preserve">https://www.youtube.com/watch?v=1qXeqK5Tr5E</t>
  </si>
  <si>
    <t xml:space="preserve">Breakdancing: how to backspin (video)</t>
  </si>
  <si>
    <t xml:space="preserve">https://ar.pinterest.com/pin/548524429595301774/</t>
  </si>
  <si>
    <t xml:space="preserve">VincaniTV breaking tutorials board</t>
  </si>
  <si>
    <t xml:space="preserve">https://uk.pinterest.com/vincanitv/how-to-breakdance-breaking-tutorials/</t>
  </si>
  <si>
    <t xml:space="preserve">Scott Adkins 540 Kick Tutorial</t>
  </si>
  <si>
    <t xml:space="preserve">YouTube (Scott Adkins)</t>
  </si>
  <si>
    <t xml:space="preserve">https://www.youtube.com/watch?v=oG25k9MKepo</t>
  </si>
  <si>
    <t xml:space="preserve">Taekwondo 540 Kick Tutorial</t>
  </si>
  <si>
    <t xml:space="preserve">https://www.youtube.com/watch?v=m5DocuF1vHo</t>
  </si>
  <si>
    <t xml:space="preserve">How to 540 Kick</t>
  </si>
  <si>
    <t xml:space="preserve">YouTube (tricking)</t>
  </si>
  <si>
    <t xml:space="preserve">https://www.youtube.com/watch?v=4TQAPtUaxvE</t>
  </si>
  <si>
    <t xml:space="preserve">Sport Karate: How to 540 Kick</t>
  </si>
  <si>
    <t xml:space="preserve">Greatmats</t>
  </si>
  <si>
    <t xml:space="preserve">https://greatmats.com/sport-karate-how-to-540-kick.php</t>
  </si>
  <si>
    <t xml:space="preserve">540 kick (ideas)</t>
  </si>
  <si>
    <t xml:space="preserve">https://www.pinterest.com/ideas/540-kick/940426290881/</t>
  </si>
  <si>
    <t xml:space="preserve">Butterfly Kick Tutorial — Drills to Learn It Smooth &amp; Safe</t>
  </si>
  <si>
    <t xml:space="preserve">https://www.youtube.com/watch?v=i6MpgE1s8Cw</t>
  </si>
  <si>
    <t xml:space="preserve">How to Butterfly Kick - Acrobatic Tricking Tutorial</t>
  </si>
  <si>
    <t xml:space="preserve">https://www.youtube.com/watch?v=WxjmXubLLOc</t>
  </si>
  <si>
    <t xml:space="preserve">Butterfly Twist Tutorial (B-Twist)</t>
  </si>
  <si>
    <t xml:space="preserve">https://www.youtube.com/watch?v=ahOFZ-to8XY</t>
  </si>
  <si>
    <t xml:space="preserve">Butterfly kick</t>
  </si>
  <si>
    <t xml:space="preserve">https://en.wikipedia.org/wiki/Butterfly_kick</t>
  </si>
  <si>
    <t xml:space="preserve">Butterfly kick tutorial (video)</t>
  </si>
  <si>
    <t xml:space="preserve">https://www.pinterest.com/pin/butterfly-kick-tutorial--675962225337361030/</t>
  </si>
  <si>
    <t xml:space="preserve">Learn the Swipe - Breakdance</t>
  </si>
  <si>
    <t xml:space="preserve">Flash Mavi</t>
  </si>
  <si>
    <t xml:space="preserve">https://www.flashmavi.com/learn/learn-the-swipe-breakdance</t>
  </si>
  <si>
    <t xml:space="preserve">SWIPE POWERMOVE B-BOY TUTORIAL - HOW TO BREAKING POWER MOVE</t>
  </si>
  <si>
    <t xml:space="preserve">https://www.youtube.com/watch?v=TrShDnZ7tR0</t>
  </si>
  <si>
    <t xml:space="preserve">How to do master swipe (breaking)</t>
  </si>
  <si>
    <t xml:space="preserve">https://www.redbull.com/in-en/how-to-do-master-swipe-breaking</t>
  </si>
  <si>
    <t xml:space="preserve">Swipe (breakdancing move)</t>
  </si>
  <si>
    <t xml:space="preserve">https://en.wikipedia.org/wiki/Swipe_(breakdancing_move)</t>
  </si>
  <si>
    <t xml:space="preserve">How to Break Dance (coffee grinder steps)</t>
  </si>
  <si>
    <t xml:space="preserve">Instructables</t>
  </si>
  <si>
    <t xml:space="preserve">https://www.instructables.com/How-to-Break-Dance</t>
  </si>
  <si>
    <t xml:space="preserve">B-boy tutorial: swipes (video)</t>
  </si>
  <si>
    <t xml:space="preserve">https://fr.pinterest.com/pin/swipes-skip-to-1m15sec--438608451182765856/</t>
  </si>
  <si>
    <t xml:space="preserve">Drop (breakdancing move)</t>
  </si>
  <si>
    <t xml:space="preserve">https://en.wikipedia.org/wiki/Drop_(breakdancing_move)</t>
  </si>
  <si>
    <t xml:space="preserve">How to KNEE DROP (Best &amp; Safest Technique)</t>
  </si>
  <si>
    <t xml:space="preserve">https://www.youtube.com/watch?v=NSvVGx7PAtA</t>
  </si>
  <si>
    <t xml:space="preserve">How To Breakdance - Get Down - Knee Drop</t>
  </si>
  <si>
    <t xml:space="preserve">https://www.youtube.com/watch?v=dyAQ1UAAtbc</t>
  </si>
  <si>
    <t xml:space="preserve">Drops (The Breaks)</t>
  </si>
  <si>
    <t xml:space="preserve">https://thebreaks.org/articles/drop.html</t>
  </si>
  <si>
    <t xml:space="preserve">RUBBER BAND (CONTINUOUS KIP-UP) TUTORIAL</t>
  </si>
  <si>
    <t xml:space="preserve">https://www.youtube.com/watch?v=2GfY4AMwpxs</t>
  </si>
  <si>
    <t xml:space="preserve">How to Breakdance - Kip up (kick up) Rubberbands Tutorial</t>
  </si>
  <si>
    <t xml:space="preserve">https://www.youtube.com/watch?v=5lVUKmaiN58</t>
  </si>
  <si>
    <t xml:space="preserve">Spin (breakdancing move)</t>
  </si>
  <si>
    <t xml:space="preserve">https://en.wikipedia.org/wiki/Spin_(breakdancing_move)</t>
  </si>
  <si>
    <t xml:space="preserve">How to do a 1990 spin - 90 breakdance tutorial</t>
  </si>
  <si>
    <t xml:space="preserve">https://www.youtube.com/watch?v=Ovtfld_ZyCs</t>
  </si>
  <si>
    <t xml:space="preserve">How to do 1990 | Ninety Tutorial | by Infinite Tutorials</t>
  </si>
  <si>
    <t xml:space="preserve">https://www.youtube.com/watch?v=hoPhWFTpvfg</t>
  </si>
  <si>
    <t xml:space="preserve">Windmill (breakdancing move)</t>
  </si>
  <si>
    <t xml:space="preserve">https://en.wikipedia.org/wiki/Windmill_(breakdancing_move)</t>
  </si>
  <si>
    <t xml:space="preserve">Learn How to Windmill - Complete Step by Step - Breakdance Tutorial</t>
  </si>
  <si>
    <t xml:space="preserve">https://www.youtube.com/watch?v=0dB7JjpBMtI</t>
  </si>
  <si>
    <t xml:space="preserve">How To Coindrop Step by Step</t>
  </si>
  <si>
    <t xml:space="preserve">https://www.youtube.com/watch?v=rtynnt_u3dw</t>
  </si>
  <si>
    <t xml:space="preserve">Windmill - Breakdance Instruction</t>
  </si>
  <si>
    <t xml:space="preserve">https://www.flashmavi.com/learn/windmill-breakdance-instruction</t>
  </si>
  <si>
    <t xml:space="preserve">Learn how to windmill, step by step (video)</t>
  </si>
  <si>
    <t xml:space="preserve">https://www.pinterest.com/pin/learn-how-to-windmill-complete-step-by-step-breakdance-tutorial--366480488441127707/</t>
  </si>
  <si>
    <t xml:space="preserve">How to breakdance: power moves board</t>
  </si>
  <si>
    <t xml:space="preserve">https://uk.pinterest.com/easydancehiphop/how-to-breakdance-power-moves/</t>
  </si>
  <si>
    <t xml:space="preserve">How to do a handglide</t>
  </si>
  <si>
    <t xml:space="preserve">Bboy Dojo</t>
  </si>
  <si>
    <t xml:space="preserve">https://bboydojo.com/breaking-training/how-to-do-a-handglide/</t>
  </si>
  <si>
    <t xml:space="preserve">Hand Spin On One Hand - Break Dancing / Miroslav Bruise Zilka</t>
  </si>
  <si>
    <t xml:space="preserve">https://www.youtube.com/watch?v=B_15ddurXG0</t>
  </si>
  <si>
    <t xml:space="preserve">Smw8 Acrobatics sequence (school partner acrobatics unit, includes the ankle-grip partner roll)</t>
  </si>
  <si>
    <t xml:space="preserve">Bayern Bilingual (Bavarian school sport materials)</t>
  </si>
  <si>
    <t xml:space="preserve">https://www.bilingual.bayern.de/fileadmin/user_upload/bilingual/Realschule/Faecher/Sportm/Sport8/Smw8_Acrobatics-sequence.pdf</t>
  </si>
  <si>
    <t xml:space="preserve">Easy Acrobatic Move: Duo Roll Over Trick</t>
  </si>
  <si>
    <t xml:space="preserve">https://www.youtube.com/shorts/yitnutsuhSE</t>
  </si>
  <si>
    <t xml:space="preserve">How To Do A Double Cartwheel - 2 Person Acro Cartwheel Tutorial</t>
  </si>
  <si>
    <t xml:space="preserve">YouTube (gymnastics coaches)</t>
  </si>
  <si>
    <t xml:space="preserve">https://www.youtube.com/watch?v=KIRLfAJktpE</t>
  </si>
  <si>
    <t xml:space="preserve">Acro partner tricks board</t>
  </si>
  <si>
    <t xml:space="preserve">https://www.pinterest.com/britm159/acro-partner-tricks/</t>
  </si>
  <si>
    <t xml:space="preserve">Double Cartwheel Quick Tutorial</t>
  </si>
  <si>
    <t xml:space="preserve">https://www.youtube.com/watch?v=mxQnM1-XztU</t>
  </si>
  <si>
    <t xml:space="preserve">Tutorial: How to endlessly cartwheel with a partner (in different variations!)</t>
  </si>
  <si>
    <t xml:space="preserve">https://www.youtube.com/watch?v=jDF8V8nU1mk</t>
  </si>
  <si>
    <t xml:space="preserve">5 EASY Partner Cartwheels</t>
  </si>
  <si>
    <t xml:space="preserve">https://youtube.com/watch?pp=ygUMI2NpcmN1c2xpZnRz&amp;v=uOIHj3BzARA</t>
  </si>
  <si>
    <t xml:space="preserve">Partner cartwheel (clip)</t>
  </si>
  <si>
    <t xml:space="preserve">https://www.pinterest.com/pin/289074869851796372/</t>
  </si>
  <si>
    <t xml:space="preserve">Acro partner tricks (ideas)</t>
  </si>
  <si>
    <t xml:space="preserve">https://uk.pinterest.com/ideas/acro-partner-tricks/956433478775/</t>
  </si>
  <si>
    <t xml:space="preserve">Acro dance (section on double tricks / partnering tricks and the pitch tuck)</t>
  </si>
  <si>
    <t xml:space="preserve">https://en.wikipedia.org/wiki/Acro_dance</t>
  </si>
  <si>
    <t xml:space="preserve">Adagio (acrobatics)</t>
  </si>
  <si>
    <t xml:space="preserve">https://en.wikipedia.org/wiki/Adagio_(acrobatics)</t>
  </si>
  <si>
    <t xml:space="preserve">Beginner Acro Partnering Tricks and Lifts</t>
  </si>
  <si>
    <t xml:space="preserve">https://www.youtube.com/watch?v=1UV1gB0Q2bo</t>
  </si>
  <si>
    <t xml:space="preserve">10 Ways to Partner Flip || Standing Acro || Partner Stunts</t>
  </si>
  <si>
    <t xml:space="preserve">https://www.youtube.com/watch?v=Dzev3wIpfuY</t>
  </si>
  <si>
    <t xml:space="preserve">Partner Acro Conditioning</t>
  </si>
  <si>
    <t xml:space="preserve">Circomedia (circus school)</t>
  </si>
  <si>
    <t xml:space="preserve">https://www.circomedia.com/partner-acro-conditionin/</t>
  </si>
  <si>
    <t xml:space="preserve">Acro dance lifts (ideas)</t>
  </si>
  <si>
    <t xml:space="preserve">https://www.pinterest.com/ideas/acro-dance-lifts/904622444319/</t>
  </si>
  <si>
    <t xml:space="preserve">Acro stunts board</t>
  </si>
  <si>
    <t xml:space="preserve">https://www.pinterest.com/megejordan/acro-stunts/</t>
  </si>
  <si>
    <t xml:space="preserve">Acrobatic Skill Set Guidelines (lists butterfly as a transitional movement)</t>
  </si>
  <si>
    <t xml:space="preserve">KAR dance competition</t>
  </si>
  <si>
    <t xml:space="preserve">https://dancekar.com/public/docs/2027_Acrobatic_Skill_Set_Guidelines.pdf</t>
  </si>
  <si>
    <t xml:space="preserve">Partner Acro Dance Curriculum (lists a chinstand butterfly partner skill)</t>
  </si>
  <si>
    <t xml:space="preserve">Dance The Cutting Edge (dance teacher curriculum)</t>
  </si>
  <si>
    <t xml:space="preserve">https://dancethecuttingedge.com/acro-partner-work-curriculum-tutorials-syllabus-lessons/</t>
  </si>
  <si>
    <t xml:space="preserve">AcroYoga 101: Classic Sequence for Beginners</t>
  </si>
  <si>
    <t xml:space="preserve">Yoga Journal</t>
  </si>
  <si>
    <t xml:space="preserve">https://www.yogajournal.com/poses/acroyoga-101-classic-sequence-beginners?scope=anon</t>
  </si>
  <si>
    <t xml:space="preserve">Partner Acro for Beginners: Front Plank</t>
  </si>
  <si>
    <t xml:space="preserve">https://www.youtube.com/watch?v=Ar_YxykYIbs</t>
  </si>
  <si>
    <t xml:space="preserve">Acrobalance 2 (front and back balance, ages 8+)</t>
  </si>
  <si>
    <t xml:space="preserve">https://www.circomedia.com/acro-acrobalance-2/</t>
  </si>
  <si>
    <t xml:space="preserve">Acro Partner Yoga (Front Angel and Back Angel)</t>
  </si>
  <si>
    <t xml:space="preserve">YouTube (dance class)</t>
  </si>
  <si>
    <t xml:space="preserve">https://www.youtube.com/watch?v=NtwyhxwT4Ok</t>
  </si>
  <si>
    <t xml:space="preserve">Acrobatic partner tricks (ideas)</t>
  </si>
  <si>
    <t xml:space="preserve">https://www.pinterest.com/ideas/acrobatic-partner-tricks/912982867505/</t>
  </si>
  <si>
    <t xml:space="preserve">Partner Gymnastic Tricks!</t>
  </si>
  <si>
    <t xml:space="preserve">https://www.youtube.com/watch?v=Q5s_HCPdD6E</t>
  </si>
  <si>
    <t xml:space="preserve">Beginner Acro Partnering Tricks (Pre Acro Dance)</t>
  </si>
  <si>
    <t xml:space="preserve">YouTube (dance program)</t>
  </si>
  <si>
    <t xml:space="preserve">https://www.youtube.com/watch?v=csowQrOqq1A&amp;pp=0gcJCfcAhR29_xXO</t>
  </si>
  <si>
    <t xml:space="preserve">The art of pas de deux, part II (teaching catches safely)</t>
  </si>
  <si>
    <t xml:space="preserve">Dance Australia</t>
  </si>
  <si>
    <t xml:space="preserve">https://danceaustralia.com.au/news/the-art-of-pas-de-deux-part-ii1</t>
  </si>
  <si>
    <t xml:space="preserve">Dance partnering (dance lifts)</t>
  </si>
  <si>
    <t xml:space="preserve">https://en.wikipedia.org/wiki/Dance_partnering</t>
  </si>
  <si>
    <t xml:space="preserve">5 Easy Dance Lifts &amp; Partnering Tutorial with @trainwithkendall</t>
  </si>
  <si>
    <t xml:space="preserve">https://www.youtube.com/watch?v=N3AH7W1YFTY</t>
  </si>
  <si>
    <t xml:space="preserve">Dance partnering (dance lifts, general background)</t>
  </si>
  <si>
    <t xml:space="preserve">Teacher's answer</t>
  </si>
  <si>
    <t xml:space="preserve">Date asked</t>
  </si>
  <si>
    <t xml:space="preserve">Summary (counts update from the Skills sheet)</t>
  </si>
  <si>
    <t xml:space="preserve">Total</t>
  </si>
  <si>
    <t xml:space="preserve">Moves on the chart</t>
  </si>
  <si>
    <t xml:space="preserve">Status: Learning</t>
  </si>
  <si>
    <t xml:space="preserve">Status: Clean</t>
  </si>
  <si>
    <t xml:space="preserve">Status: Teacher-checked</t>
  </si>
  <si>
    <t xml:space="preserve">Her group (Level 2–3) clean or checked</t>
  </si>
  <si>
    <t xml:space="preserve">Share = (Level 2–3 rows with Status Clean or Teacher-checked) ÷ (all Level 2–3 rows). Status is filled in on the Skills sheet.</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</si>
</sst>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color rgb="FF555555"/>
      <name val="Arial"/>
      <family val="0"/>
      <charset val="1"/>
    </font>
    <font>
      <sz val="10"/>
      <name val="Arial"/>
      <family val="0"/>
      <charset val="1"/>
    </font>
    <font>
      <b val="true"/>
      <sz val="10"/>
      <name val="Arial"/>
      <family val="0"/>
      <charset val="1"/>
    </font>
    <font>
      <b val="true"/>
      <sz val="10"/>
      <color rgb="FFFFFFFF"/>
      <name val="Arial"/>
      <family val="0"/>
      <charset val="1"/>
    </font>
    <font>
      <u val="single"/>
      <sz val="10"/>
      <color rgb="FF8A1F52"/>
      <name val="Arial"/>
      <family val="0"/>
      <charset val="1"/>
    </font>
    <font>
      <b val="true"/>
      <sz val="13"/>
      <name val="Arial"/>
      <family val="0"/>
      <charset val="1"/>
    </font>
    <font>
      <sz val="9"/>
      <color rgb="FF555555"/>
      <name val="Arial"/>
      <family val="0"/>
      <charset val="1"/>
    </font>
  </fonts>
  <fills count="8">
    <fill>
      <patternFill patternType="none"/>
    </fill>
    <fill>
      <patternFill patternType="gray125"/>
    </fill>
    <fill>
      <patternFill patternType="solid">
        <fgColor rgb="FF1D1D1F"/>
        <bgColor rgb="FF333300"/>
      </patternFill>
    </fill>
    <fill>
      <patternFill patternType="solid">
        <fgColor rgb="FFFFF4D6"/>
        <bgColor rgb="FFFBF2F6"/>
      </patternFill>
    </fill>
    <fill>
      <patternFill patternType="solid">
        <fgColor rgb="FFFFFF00"/>
        <bgColor rgb="FFFFFF00"/>
      </patternFill>
    </fill>
    <fill>
      <patternFill patternType="solid">
        <fgColor rgb="FFFBF2F6"/>
        <bgColor rgb="FFFFFFFF"/>
      </patternFill>
    </fill>
    <fill>
      <patternFill patternType="solid">
        <fgColor rgb="FFFDE3EA"/>
        <bgColor rgb="FFFBF2F6"/>
      </patternFill>
    </fill>
    <fill>
      <patternFill patternType="solid">
        <fgColor rgb="FFE3F4E6"/>
        <bgColor rgb="FFFBF2F6"/>
      </patternFill>
    </fill>
  </fills>
  <borders count="2">
    <border diagonalUp="false" diagonalDown="false">
      <left/>
      <right/>
      <top/>
      <bottom/>
      <diagonal/>
    </border>
    <border diagonalUp="false" diagonalDown="false">
      <left/>
      <right/>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D1D1F"/>
          <bgColor rgb="FF000000"/>
        </patternFill>
      </fill>
    </dxf>
    <dxf>
      <fill>
        <patternFill patternType="solid">
          <fgColor rgb="FFFBF2F6"/>
          <bgColor rgb="FF000000"/>
        </patternFill>
      </fill>
    </dxf>
    <dxf>
      <fill>
        <patternFill patternType="solid">
          <bgColor rgb="FF000000"/>
        </patternFill>
      </fill>
    </dxf>
    <dxf>
      <fill>
        <patternFill patternType="solid">
          <fgColor rgb="FFFFFFFF"/>
          <bgColor rgb="FF000000"/>
        </patternFill>
      </fill>
    </dxf>
    <dxf>
      <fill>
        <patternFill patternType="solid">
          <fgColor rgb="FFE3F4E6"/>
          <bgColor rgb="FF000000"/>
        </patternFill>
      </fill>
    </dxf>
    <dxf>
      <fill>
        <patternFill patternType="solid">
          <fgColor rgb="FFFDE3EA"/>
          <bgColor rgb="FF000000"/>
        </patternFill>
      </fill>
    </dxf>
    <dxf>
      <fill>
        <patternFill patternType="solid">
          <fgColor rgb="FFFFF4D6"/>
          <bgColor rgb="FF000000"/>
        </patternFill>
      </fill>
    </dxf>
    <dxf>
      <fill>
        <patternFill patternType="solid">
          <fgColor rgb="FFFFFF00"/>
          <bgColor rgb="FF000000"/>
        </patternFill>
      </fill>
    </dxf>
    <dxf>
      <fill>
        <patternFill patternType="solid">
          <fgColor rgb="FF8A1F5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8A1F52"/>
      <rgbColor rgb="FFFFF4D6"/>
      <rgbColor rgb="FFE3F4E6"/>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FBF2F6"/>
      <rgbColor rgb="FFCCFFCC"/>
      <rgbColor rgb="FFFFFF99"/>
      <rgbColor rgb="FF99CCFF"/>
      <rgbColor rgb="FFFF99CC"/>
      <rgbColor rgb="FFCC99FF"/>
      <rgbColor rgb="FFFDE3E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D1D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www.youtube.com/watch?v=OwkGFmrWU2U" TargetMode="External"/><Relationship Id="rId2" Type="http://schemas.openxmlformats.org/officeDocument/2006/relationships/hyperlink" Target="https://www.youtube.com/watch?v=UbgxEc4o-i8" TargetMode="External"/><Relationship Id="rId3" Type="http://schemas.openxmlformats.org/officeDocument/2006/relationships/hyperlink" Target="https://www.youtube.com/watch?v=7I2TEyZl22s" TargetMode="External"/><Relationship Id="rId4" Type="http://schemas.openxmlformats.org/officeDocument/2006/relationships/hyperlink" Target="https://en.wikiversity.org/wiki/Handstand" TargetMode="External"/><Relationship Id="rId5" Type="http://schemas.openxmlformats.org/officeDocument/2006/relationships/hyperlink" Target="https://www.acrobaticarts.com/blog/discover-the-dynamic-levels-of-acro-dance-at-acrobatic-arts" TargetMode="External"/><Relationship Id="rId6" Type="http://schemas.openxmlformats.org/officeDocument/2006/relationships/hyperlink" Target="https://www.pinterest.com/ideas/handstand-drills-gymnastics/930342745762/" TargetMode="External"/><Relationship Id="rId7" Type="http://schemas.openxmlformats.org/officeDocument/2006/relationships/hyperlink" Target="https://au.pinterest.com/caitlinmrnjavac/mini-acro-drills/" TargetMode="External"/><Relationship Id="rId8" Type="http://schemas.openxmlformats.org/officeDocument/2006/relationships/hyperlink" Target="https://www.youtube.com/watch?v=1WRcfLWlONQ&amp;pp=0gcJCdgAo7VqN5tD" TargetMode="External"/><Relationship Id="rId9" Type="http://schemas.openxmlformats.org/officeDocument/2006/relationships/hyperlink" Target="https://breakingmuscle.com/4-drills-for-getting-stronger-and-better-at-handstands/" TargetMode="External"/><Relationship Id="rId10" Type="http://schemas.openxmlformats.org/officeDocument/2006/relationships/hyperlink" Target="https://lostartofhandbalancing.com/handstand-drills/" TargetMode="External"/><Relationship Id="rId11" Type="http://schemas.openxmlformats.org/officeDocument/2006/relationships/hyperlink" Target="https://www.youtube.com/shorts/WP9Hk5RzoME" TargetMode="External"/><Relationship Id="rId12" Type="http://schemas.openxmlformats.org/officeDocument/2006/relationships/hyperlink" Target="https://www.pinterest.com/ideas/handstand-drills-gymnastics/930342745762/" TargetMode="External"/><Relationship Id="rId13" Type="http://schemas.openxmlformats.org/officeDocument/2006/relationships/hyperlink" Target="https://www.youtube.com/watch?v=kPTrsUS0rpQ" TargetMode="External"/><Relationship Id="rId14" Type="http://schemas.openxmlformats.org/officeDocument/2006/relationships/hyperlink" Target="https://www.youtube.com/watch?v=QQH0udeM5s8" TargetMode="External"/><Relationship Id="rId15" Type="http://schemas.openxmlformats.org/officeDocument/2006/relationships/hyperlink" Target="https://www.youtube.com/watch?v=kCoDa9GdtQM" TargetMode="External"/><Relationship Id="rId16" Type="http://schemas.openxmlformats.org/officeDocument/2006/relationships/hyperlink" Target="https://www.youtube.com/watch?v=pmiddNiBmcU" TargetMode="External"/><Relationship Id="rId17" Type="http://schemas.openxmlformats.org/officeDocument/2006/relationships/hyperlink" Target="https://www.podserve.fm/series/website/the-acrobatic-arts-podcast,2119/191823" TargetMode="External"/><Relationship Id="rId18" Type="http://schemas.openxmlformats.org/officeDocument/2006/relationships/hyperlink" Target="https://www.pinterest.com/pin/cartwheel-drills-for-clean-tumbling--812477589026047331/" TargetMode="External"/><Relationship Id="rId19" Type="http://schemas.openxmlformats.org/officeDocument/2006/relationships/hyperlink" Target="https://es.pinterest.com/mjl8/cartwheelsdrills-for-beginners/" TargetMode="External"/><Relationship Id="rId20" Type="http://schemas.openxmlformats.org/officeDocument/2006/relationships/hyperlink" Target="https://www.youtube.com/watch?v=1ojiqZQPkPA" TargetMode="External"/><Relationship Id="rId21" Type="http://schemas.openxmlformats.org/officeDocument/2006/relationships/hyperlink" Target="https://www.youtube.com/watch?v=26KZw_tOu8k" TargetMode="External"/><Relationship Id="rId22" Type="http://schemas.openxmlformats.org/officeDocument/2006/relationships/hyperlink" Target="https://www.youtube.com/watch?v=XWXQF_5TUwM" TargetMode="External"/><Relationship Id="rId23" Type="http://schemas.openxmlformats.org/officeDocument/2006/relationships/hyperlink" Target="https://en.wikipedia.org/wiki/Roundoff" TargetMode="External"/><Relationship Id="rId24" Type="http://schemas.openxmlformats.org/officeDocument/2006/relationships/hyperlink" Target="https://www.pinterest.com/pin/24277285478051706/" TargetMode="External"/><Relationship Id="rId25" Type="http://schemas.openxmlformats.org/officeDocument/2006/relationships/hyperlink" Target="https://www.pinterest.com/pin/830210512563557119/" TargetMode="External"/><Relationship Id="rId26" Type="http://schemas.openxmlformats.org/officeDocument/2006/relationships/hyperlink" Target="https://www.youtube.com/watch?v=Aa73IgY6nbg" TargetMode="External"/><Relationship Id="rId27" Type="http://schemas.openxmlformats.org/officeDocument/2006/relationships/hyperlink" Target="https://www.youtube.com/watch?v=CFPu4Ws1Ig4" TargetMode="External"/><Relationship Id="rId28" Type="http://schemas.openxmlformats.org/officeDocument/2006/relationships/hyperlink" Target="https://www.youtube.com/watch?v=lm_tefFVP_M" TargetMode="External"/><Relationship Id="rId29" Type="http://schemas.openxmlformats.org/officeDocument/2006/relationships/hyperlink" Target="https://www.youtube.com/watch?v=dx8Bfw_3LcY" TargetMode="External"/><Relationship Id="rId30" Type="http://schemas.openxmlformats.org/officeDocument/2006/relationships/hyperlink" Target="https://www.youtube.com/watch?v=hhlOR-vRXPQ" TargetMode="External"/><Relationship Id="rId31" Type="http://schemas.openxmlformats.org/officeDocument/2006/relationships/hyperlink" Target="https://www.pinterest.com/ideas/how-to-do-a-front-walkover-step-by-step/918305243269/" TargetMode="External"/><Relationship Id="rId32" Type="http://schemas.openxmlformats.org/officeDocument/2006/relationships/hyperlink" Target="https://ph.pinterest.com/pin/903745850218603983/" TargetMode="External"/><Relationship Id="rId33" Type="http://schemas.openxmlformats.org/officeDocument/2006/relationships/hyperlink" Target="https://en.wikipedia.org/wiki/Front_limber" TargetMode="External"/><Relationship Id="rId34" Type="http://schemas.openxmlformats.org/officeDocument/2006/relationships/hyperlink" Target="https://www.youtube.com/watch?v=fNllJ19vpSc" TargetMode="External"/><Relationship Id="rId35" Type="http://schemas.openxmlformats.org/officeDocument/2006/relationships/hyperlink" Target="https://www.youtube.com/watch?v=PPbRiVYTKAo&amp;pp=0gcJCa0JAYcqIYzv" TargetMode="External"/><Relationship Id="rId36" Type="http://schemas.openxmlformats.org/officeDocument/2006/relationships/hyperlink" Target="https://uk.pinterest.com/lifeiskindaboringlyrated/floor-acro/" TargetMode="External"/><Relationship Id="rId37" Type="http://schemas.openxmlformats.org/officeDocument/2006/relationships/hyperlink" Target="https://www.youtube.com/watch?v=o32RNvuKHWw" TargetMode="External"/><Relationship Id="rId38" Type="http://schemas.openxmlformats.org/officeDocument/2006/relationships/hyperlink" Target="https://www.youtube.com/watch?v=TuTph75tT5w" TargetMode="External"/><Relationship Id="rId39" Type="http://schemas.openxmlformats.org/officeDocument/2006/relationships/hyperlink" Target="https://yogainternational.com/article/view/hollowback-forearmstand" TargetMode="External"/><Relationship Id="rId40" Type="http://schemas.openxmlformats.org/officeDocument/2006/relationships/hyperlink" Target="https://blog.alomoves.com/movement/pose-breakdown-forearm-hollow-back-pose" TargetMode="External"/><Relationship Id="rId41" Type="http://schemas.openxmlformats.org/officeDocument/2006/relationships/hyperlink" Target="https://www.youtube.com/watch?v=KAXEWFXqCHo" TargetMode="External"/><Relationship Id="rId42" Type="http://schemas.openxmlformats.org/officeDocument/2006/relationships/hyperlink" Target="https://in.pinterest.com/ideas/how-to-do-a-elbow-stand/932614105752/" TargetMode="External"/><Relationship Id="rId43" Type="http://schemas.openxmlformats.org/officeDocument/2006/relationships/hyperlink" Target="https://mx.pinterest.com/pin/646336984058576016/" TargetMode="External"/><Relationship Id="rId44" Type="http://schemas.openxmlformats.org/officeDocument/2006/relationships/hyperlink" Target="https://www.pinterest.com/pin/2814818504816477/" TargetMode="External"/><Relationship Id="rId45" Type="http://schemas.openxmlformats.org/officeDocument/2006/relationships/hyperlink" Target="https://www.youtube.com/watch?v=Kqvk746jGzA" TargetMode="External"/><Relationship Id="rId46" Type="http://schemas.openxmlformats.org/officeDocument/2006/relationships/hyperlink" Target="https://www.youtube.com/watch?v=VCsYKKh-I4c" TargetMode="External"/><Relationship Id="rId47" Type="http://schemas.openxmlformats.org/officeDocument/2006/relationships/hyperlink" Target="https://www.youtube.com/watch?v=HOIQIrCgIWw" TargetMode="External"/><Relationship Id="rId48" Type="http://schemas.openxmlformats.org/officeDocument/2006/relationships/hyperlink" Target="https://www.acrobaticarts.com/blog/headstand-progressions-for-beginners" TargetMode="External"/><Relationship Id="rId49" Type="http://schemas.openxmlformats.org/officeDocument/2006/relationships/hyperlink" Target="https://www.youtube.com/watch?v=rSyWx_cG-Ns" TargetMode="External"/><Relationship Id="rId50" Type="http://schemas.openxmlformats.org/officeDocument/2006/relationships/hyperlink" Target="https://www.youtube.com/watch?v=MKFo19bn1kE" TargetMode="External"/><Relationship Id="rId51" Type="http://schemas.openxmlformats.org/officeDocument/2006/relationships/hyperlink" Target="https://www.youtube.com/watch?v=VN2LD7EWjpU" TargetMode="External"/><Relationship Id="rId52" Type="http://schemas.openxmlformats.org/officeDocument/2006/relationships/hyperlink" Target="https://www.12minuteathlete.com/headstands/" TargetMode="External"/><Relationship Id="rId53" Type="http://schemas.openxmlformats.org/officeDocument/2006/relationships/hyperlink" Target="https://www.sportplan.net/drills/Gymnastics/short-head-spring/Head-Spring-Progressions-gymc95.jsp" TargetMode="External"/><Relationship Id="rId54" Type="http://schemas.openxmlformats.org/officeDocument/2006/relationships/hyperlink" Target="https://www.youtube.com/watch?v=FRIwhB1Nc68" TargetMode="External"/><Relationship Id="rId55" Type="http://schemas.openxmlformats.org/officeDocument/2006/relationships/hyperlink" Target="https://www.youtube.com/watch?v=6zDK0P9Vv9s" TargetMode="External"/><Relationship Id="rId56" Type="http://schemas.openxmlformats.org/officeDocument/2006/relationships/hyperlink" Target="https://www.youtube.com/watch?v=E-nKUgjB06g" TargetMode="External"/><Relationship Id="rId57" Type="http://schemas.openxmlformats.org/officeDocument/2006/relationships/hyperlink" Target="https://lostartofhandbalancing.com/how-to-do-the-headspring" TargetMode="External"/><Relationship Id="rId58" Type="http://schemas.openxmlformats.org/officeDocument/2006/relationships/hyperlink" Target="https://www.pinterest.com/pin/481814860127733541/" TargetMode="External"/><Relationship Id="rId59" Type="http://schemas.openxmlformats.org/officeDocument/2006/relationships/hyperlink" Target="https://en.wikipedia.org/wiki/Kip-up" TargetMode="External"/><Relationship Id="rId60" Type="http://schemas.openxmlformats.org/officeDocument/2006/relationships/hyperlink" Target="https://lostartofhandbalancing.com/how-to-do-a-kip-up/" TargetMode="External"/><Relationship Id="rId61" Type="http://schemas.openxmlformats.org/officeDocument/2006/relationships/hyperlink" Target="https://www.youtube.com/watch?v=kC61MUUW2zY" TargetMode="External"/><Relationship Id="rId62" Type="http://schemas.openxmlformats.org/officeDocument/2006/relationships/hyperlink" Target="https://www.youtube.com/watch?v=_9yRdLJQwFA" TargetMode="External"/><Relationship Id="rId63" Type="http://schemas.openxmlformats.org/officeDocument/2006/relationships/hyperlink" Target="https://www.pinterest.com/pin/kip-up-kick-up-tutorial--838091811931047756/" TargetMode="External"/><Relationship Id="rId64" Type="http://schemas.openxmlformats.org/officeDocument/2006/relationships/hyperlink" Target="https://gymnasticshq.com/how-to-do-an-aerial-cartwheel/" TargetMode="External"/><Relationship Id="rId65" Type="http://schemas.openxmlformats.org/officeDocument/2006/relationships/hyperlink" Target="https://gymnasticscoaching.com/2007/05/23/video-aerial-cartwheel-tutorial/" TargetMode="External"/><Relationship Id="rId66" Type="http://schemas.openxmlformats.org/officeDocument/2006/relationships/hyperlink" Target="https://www.youtube.com/watch?v=0SVcpkJhyws" TargetMode="External"/><Relationship Id="rId67" Type="http://schemas.openxmlformats.org/officeDocument/2006/relationships/hyperlink" Target="https://www.acrobaticarts.com/training-courses/aerial-and-back-handspring-workshop" TargetMode="External"/><Relationship Id="rId68" Type="http://schemas.openxmlformats.org/officeDocument/2006/relationships/hyperlink" Target="https://www.pinterest.com/pin/398216792074607635/" TargetMode="External"/><Relationship Id="rId69" Type="http://schemas.openxmlformats.org/officeDocument/2006/relationships/hyperlink" Target="https://www.pinterest.com/ideas/aerial-cartwheel-drills/936748209003/" TargetMode="External"/><Relationship Id="rId70" Type="http://schemas.openxmlformats.org/officeDocument/2006/relationships/hyperlink" Target="https://www.youtube.com/watch?v=aytOgW5KbGI" TargetMode="External"/><Relationship Id="rId71" Type="http://schemas.openxmlformats.org/officeDocument/2006/relationships/hyperlink" Target="https://www.youtube.com/watch?v=JFkZPumNRRE" TargetMode="External"/><Relationship Id="rId72" Type="http://schemas.openxmlformats.org/officeDocument/2006/relationships/hyperlink" Target="https://www.youtube.com/watch?v=WWqnHfAL4J0" TargetMode="External"/><Relationship Id="rId73" Type="http://schemas.openxmlformats.org/officeDocument/2006/relationships/hyperlink" Target="https://gymnasticshq.com/tumbling-skills-in-order-the-full-progression-from-easy-to-hard/" TargetMode="External"/><Relationship Id="rId74" Type="http://schemas.openxmlformats.org/officeDocument/2006/relationships/hyperlink" Target="https://gymnasticshq.com/how-to-do-a-forward-roll-in-gymnastics/" TargetMode="External"/><Relationship Id="rId75" Type="http://schemas.openxmlformats.org/officeDocument/2006/relationships/hyperlink" Target="https://www.scoilnet.ie/fileadmin/user_upload/PDST/7_-_Forward_Roll_-_PRINT.pdf" TargetMode="External"/><Relationship Id="rId76" Type="http://schemas.openxmlformats.org/officeDocument/2006/relationships/hyperlink" Target="https://www.youtube.com/watch?v=23IKGnbplVE" TargetMode="External"/><Relationship Id="rId77" Type="http://schemas.openxmlformats.org/officeDocument/2006/relationships/hyperlink" Target="https://www.youtube.com/watch?v=snyOHi7jxAw" TargetMode="External"/><Relationship Id="rId78" Type="http://schemas.openxmlformats.org/officeDocument/2006/relationships/hyperlink" Target="https://www.youtube.com/watch?v=m7wNLOlh5Mo" TargetMode="External"/><Relationship Id="rId79" Type="http://schemas.openxmlformats.org/officeDocument/2006/relationships/hyperlink" Target="https://www.pinterest.com/pin/how-to-do-a-forward-roll-beginner-gymnastics-tutorial--269160515223093719/" TargetMode="External"/><Relationship Id="rId80" Type="http://schemas.openxmlformats.org/officeDocument/2006/relationships/hyperlink" Target="https://www.pinterest.com/pin/275282595948633944/" TargetMode="External"/><Relationship Id="rId81" Type="http://schemas.openxmlformats.org/officeDocument/2006/relationships/hyperlink" Target="https://www.youtube.com/watch?v=b6Shf0pFH5A" TargetMode="External"/><Relationship Id="rId82" Type="http://schemas.openxmlformats.org/officeDocument/2006/relationships/hyperlink" Target="https://www.youtube.com/watch?v=oKTndo2Kuk4" TargetMode="External"/><Relationship Id="rId83" Type="http://schemas.openxmlformats.org/officeDocument/2006/relationships/hyperlink" Target="https://www.youtube.com/watch?v=ya86HxB8MDI" TargetMode="External"/><Relationship Id="rId84" Type="http://schemas.openxmlformats.org/officeDocument/2006/relationships/hyperlink" Target="https://www.youtube.com/watch?v=MgG4TuX5Jzg" TargetMode="External"/><Relationship Id="rId85" Type="http://schemas.openxmlformats.org/officeDocument/2006/relationships/hyperlink" Target="https://www.youtube.com/watch?v=Q5wCVzRqaPY" TargetMode="External"/><Relationship Id="rId86" Type="http://schemas.openxmlformats.org/officeDocument/2006/relationships/hyperlink" Target="https://www.youtube.com/watch?v=MKcgAyfbdZY" TargetMode="External"/><Relationship Id="rId87" Type="http://schemas.openxmlformats.org/officeDocument/2006/relationships/hyperlink" Target="https://www.youtube.com/watch?v=Kh8FMlMs1sI" TargetMode="External"/><Relationship Id="rId88" Type="http://schemas.openxmlformats.org/officeDocument/2006/relationships/hyperlink" Target="https://www.youtube.com/watch?v=yjl1pyz8ByM" TargetMode="External"/><Relationship Id="rId89" Type="http://schemas.openxmlformats.org/officeDocument/2006/relationships/hyperlink" Target="https://www.youtube.com/watch?v=JS0bPvfR5gg" TargetMode="External"/><Relationship Id="rId90" Type="http://schemas.openxmlformats.org/officeDocument/2006/relationships/hyperlink" Target="https://gymnasticshq.com/how-to-do-a-backward-roll-in-gymnastics/" TargetMode="External"/><Relationship Id="rId91" Type="http://schemas.openxmlformats.org/officeDocument/2006/relationships/hyperlink" Target="https://gymnasticshq.com/how-to-do-a-back-extension-roll/" TargetMode="External"/><Relationship Id="rId92" Type="http://schemas.openxmlformats.org/officeDocument/2006/relationships/hyperlink" Target="https://www.youtube.com/watch?v=U_scqEjjZbM" TargetMode="External"/><Relationship Id="rId93" Type="http://schemas.openxmlformats.org/officeDocument/2006/relationships/hyperlink" Target="https://www.youtube.com/watch?v=gLQxfc7NK4A" TargetMode="External"/><Relationship Id="rId94" Type="http://schemas.openxmlformats.org/officeDocument/2006/relationships/hyperlink" Target="https://www.tumbltrak.com/back-extension-roll-drill-for-beginners-training-tip/" TargetMode="External"/><Relationship Id="rId95" Type="http://schemas.openxmlformats.org/officeDocument/2006/relationships/hyperlink" Target="https://gymnasticshq.com/gymnastics-at-home-for-beginners-a-full-follow-along-class-no-equipment-needed/" TargetMode="External"/><Relationship Id="rId96" Type="http://schemas.openxmlformats.org/officeDocument/2006/relationships/hyperlink" Target="https://recursos.edu.xunta.gal/sites/default/files/recurso/1606139941/unit_5/55__shoulder_stand_or_candle.html" TargetMode="External"/><Relationship Id="rId97" Type="http://schemas.openxmlformats.org/officeDocument/2006/relationships/hyperlink" Target="https://www.crossfit.com/essentials/candlestick-drills" TargetMode="External"/><Relationship Id="rId98" Type="http://schemas.openxmlformats.org/officeDocument/2006/relationships/hyperlink" Target="https://www.acrobaticarts.com/upload/webpage/custompage/87/cheststandsmay2020.pdf" TargetMode="External"/><Relationship Id="rId99" Type="http://schemas.openxmlformats.org/officeDocument/2006/relationships/hyperlink" Target="https://www.acrobaticarts.com/blog/discover-the-dynamic-levels-of-acro-dance-at-acrobatic-arts" TargetMode="External"/><Relationship Id="rId100" Type="http://schemas.openxmlformats.org/officeDocument/2006/relationships/hyperlink" Target="https://www.youtube.com/shorts/3tz-GqaFQEk" TargetMode="External"/><Relationship Id="rId101" Type="http://schemas.openxmlformats.org/officeDocument/2006/relationships/hyperlink" Target="https://www.youtube.com/watch?v=oPem4wiWVXs" TargetMode="External"/><Relationship Id="rId102" Type="http://schemas.openxmlformats.org/officeDocument/2006/relationships/hyperlink" Target="https://uk.pinterest.com/lifeiskindaboringlyrated/floor-acro/" TargetMode="External"/><Relationship Id="rId103" Type="http://schemas.openxmlformats.org/officeDocument/2006/relationships/hyperlink" Target="https://www.youtube.com/watch?v=aEj3l_GnrOM" TargetMode="External"/><Relationship Id="rId104" Type="http://schemas.openxmlformats.org/officeDocument/2006/relationships/hyperlink" Target="https://www.youtube.com/shorts/WDXKz6w0ndg" TargetMode="External"/><Relationship Id="rId105" Type="http://schemas.openxmlformats.org/officeDocument/2006/relationships/hyperlink" Target="https://chalkbucket.com/threads/teaching-valdez.47540/latest" TargetMode="External"/><Relationship Id="rId106" Type="http://schemas.openxmlformats.org/officeDocument/2006/relationships/hyperlink" Target="https://gymnasticshq.com/how-to-do-a-back-walkover/" TargetMode="External"/><Relationship Id="rId107" Type="http://schemas.openxmlformats.org/officeDocument/2006/relationships/hyperlink" Target="https://www.pinterest.com/ideas/how-to-do-a-valdez/955843572840/" TargetMode="External"/><Relationship Id="rId108" Type="http://schemas.openxmlformats.org/officeDocument/2006/relationships/hyperlink" Target="https://in.pinterest.com/pin/dance-move-gymnastics-tutorial-valdez--373165519095993905/" TargetMode="External"/><Relationship Id="rId109" Type="http://schemas.openxmlformats.org/officeDocument/2006/relationships/hyperlink" Target="https://www.youtube.com/watch?v=Q5vKA9NNpTo" TargetMode="External"/><Relationship Id="rId110" Type="http://schemas.openxmlformats.org/officeDocument/2006/relationships/hyperlink" Target="https://www.youtube.com/watch?v=qSQHbFjjPL8" TargetMode="External"/><Relationship Id="rId111" Type="http://schemas.openxmlformats.org/officeDocument/2006/relationships/hyperlink" Target="https://www.wiki.pathfindersonline.org/w/AY_Honors/Tumbling_%26_Balancing_-_Advanced/Answer_Key" TargetMode="External"/><Relationship Id="rId112" Type="http://schemas.openxmlformats.org/officeDocument/2006/relationships/hyperlink" Target="https://rainbowdance.com/public/docs/2027_Acrobatic_Skill_Set_Guidelines.pdf" TargetMode="External"/><Relationship Id="rId113" Type="http://schemas.openxmlformats.org/officeDocument/2006/relationships/hyperlink" Target="https://www.pinterest.com/pin/176625616634211605/" TargetMode="External"/><Relationship Id="rId114" Type="http://schemas.openxmlformats.org/officeDocument/2006/relationships/hyperlink" Target="https://www.pinterest.com/ideas/how-to-do-a-spider-cartwheel/911772184096/" TargetMode="External"/><Relationship Id="rId115" Type="http://schemas.openxmlformats.org/officeDocument/2006/relationships/hyperlink" Target="https://gymnasticshq.com/how-to-do-a-front-tuck/" TargetMode="External"/><Relationship Id="rId116" Type="http://schemas.openxmlformats.org/officeDocument/2006/relationships/hyperlink" Target="https://www.youtube.com/watch?v=xZL4gV4coS8" TargetMode="External"/><Relationship Id="rId117" Type="http://schemas.openxmlformats.org/officeDocument/2006/relationships/hyperlink" Target="https://www.youtube.com/watch?v=nQErp4EdybI" TargetMode="External"/><Relationship Id="rId118" Type="http://schemas.openxmlformats.org/officeDocument/2006/relationships/hyperlink" Target="https://www.loopkickstricking.com/tricks/webster" TargetMode="External"/><Relationship Id="rId119" Type="http://schemas.openxmlformats.org/officeDocument/2006/relationships/hyperlink" Target="https://www.youtube.com/watch?v=z24WWQfE8c0" TargetMode="External"/><Relationship Id="rId120" Type="http://schemas.openxmlformats.org/officeDocument/2006/relationships/hyperlink" Target="https://www.youtube.com/watch?v=whuRt1G008s" TargetMode="External"/><Relationship Id="rId121" Type="http://schemas.openxmlformats.org/officeDocument/2006/relationships/hyperlink" Target="https://gymnasticshq.com/tumbling-skills-in-order-the-full-progression-from-easy-to-hard/" TargetMode="External"/><Relationship Id="rId122" Type="http://schemas.openxmlformats.org/officeDocument/2006/relationships/hyperlink" Target="https://gymnasticshq.com/how-to-do-a-front-handspring/" TargetMode="External"/><Relationship Id="rId123" Type="http://schemas.openxmlformats.org/officeDocument/2006/relationships/hyperlink" Target="https://gymnasticshq.com/backhandspring/" TargetMode="External"/><Relationship Id="rId124" Type="http://schemas.openxmlformats.org/officeDocument/2006/relationships/hyperlink" Target="https://www.youtube.com/watch?v=IH3YD5U3Alk" TargetMode="External"/><Relationship Id="rId125" Type="http://schemas.openxmlformats.org/officeDocument/2006/relationships/hyperlink" Target="https://www.youtube.com/watch?v=tmepbByS4Ak" TargetMode="External"/><Relationship Id="rId126" Type="http://schemas.openxmlformats.org/officeDocument/2006/relationships/hyperlink" Target="https://www.youtube.com/watch?v=6zDK0P9Vv9s" TargetMode="External"/><Relationship Id="rId127" Type="http://schemas.openxmlformats.org/officeDocument/2006/relationships/hyperlink" Target="https://www.pinterest.com/kelliott4012/back-handspring-drills/" TargetMode="External"/><Relationship Id="rId128" Type="http://schemas.openxmlformats.org/officeDocument/2006/relationships/hyperlink" Target="https://gymnasticshq.com/how-to-do-a-round-off-back-handspring/" TargetMode="External"/><Relationship Id="rId129" Type="http://schemas.openxmlformats.org/officeDocument/2006/relationships/hyperlink" Target="https://www.youtube.com/watch?v=krA9IDWFRJk" TargetMode="External"/><Relationship Id="rId130" Type="http://schemas.openxmlformats.org/officeDocument/2006/relationships/hyperlink" Target="https://www.youtube.com/watch?v=eyWK8vAl79Q" TargetMode="External"/><Relationship Id="rId131" Type="http://schemas.openxmlformats.org/officeDocument/2006/relationships/hyperlink" Target="https://gymnasticshq.com/gymnastics-skills-list-floor/" TargetMode="External"/><Relationship Id="rId132" Type="http://schemas.openxmlformats.org/officeDocument/2006/relationships/hyperlink" Target="https://www.youtube.com/watch?v=RFTKeJi6D7k" TargetMode="External"/><Relationship Id="rId133" Type="http://schemas.openxmlformats.org/officeDocument/2006/relationships/hyperlink" Target="https://es.pinterest.com/pin/round-off-back-handspring-drills--812477589029643632/" TargetMode="External"/><Relationship Id="rId134" Type="http://schemas.openxmlformats.org/officeDocument/2006/relationships/hyperlink" Target="https://gymnasticshq.com/how-to-do-a-handstand/" TargetMode="External"/><Relationship Id="rId135" Type="http://schemas.openxmlformats.org/officeDocument/2006/relationships/hyperlink" Target="https://gymnasticshq.com/4-tips-to-hold-your-handstand-longer/" TargetMode="External"/><Relationship Id="rId136" Type="http://schemas.openxmlformats.org/officeDocument/2006/relationships/hyperlink" Target="https://www.youtube.com/watch?v=oPem4wiWVXs" TargetMode="External"/><Relationship Id="rId137" Type="http://schemas.openxmlformats.org/officeDocument/2006/relationships/hyperlink" Target="https://www.youtube.com/watch?v=m0qjg36cRm8" TargetMode="External"/><Relationship Id="rId138" Type="http://schemas.openxmlformats.org/officeDocument/2006/relationships/hyperlink" Target="https://ie.pinterest.com/ideas/how-to-chin-stand/928113617265/" TargetMode="External"/><Relationship Id="rId139" Type="http://schemas.openxmlformats.org/officeDocument/2006/relationships/hyperlink" Target="https://thebreaks.org/articles/bronco.html" TargetMode="External"/><Relationship Id="rId140" Type="http://schemas.openxmlformats.org/officeDocument/2006/relationships/hyperlink" Target="https://www.youtube.com/watch?v=crMGg2ZROwA" TargetMode="External"/><Relationship Id="rId141" Type="http://schemas.openxmlformats.org/officeDocument/2006/relationships/hyperlink" Target="https://www.youtube.com/watch?v=xhQPNfnjBq0" TargetMode="External"/><Relationship Id="rId142" Type="http://schemas.openxmlformats.org/officeDocument/2006/relationships/hyperlink" Target="https://www.crossfitinvictus.com/?p=47339" TargetMode="External"/><Relationship Id="rId143" Type="http://schemas.openxmlformats.org/officeDocument/2006/relationships/hyperlink" Target="https://www.youtube.com/watch?v=Xt-UW0sLpyg" TargetMode="External"/><Relationship Id="rId144" Type="http://schemas.openxmlformats.org/officeDocument/2006/relationships/hyperlink" Target="https://www.youtube.com/watch?v=i1wB7k7QqZ0" TargetMode="External"/><Relationship Id="rId145" Type="http://schemas.openxmlformats.org/officeDocument/2006/relationships/hyperlink" Target="https://www.youtube.com/watch?v=phavDNtO3VE" TargetMode="External"/><Relationship Id="rId146" Type="http://schemas.openxmlformats.org/officeDocument/2006/relationships/hyperlink" Target="https://www.youtube.com/watch?v=_wgI7bzLg_k" TargetMode="External"/><Relationship Id="rId147" Type="http://schemas.openxmlformats.org/officeDocument/2006/relationships/hyperlink" Target="https://www.circomedia.com/acro-y-stand-scorpion/" TargetMode="External"/><Relationship Id="rId148" Type="http://schemas.openxmlformats.org/officeDocument/2006/relationships/hyperlink" Target="https://in.pinterest.com/pin/452189618854309474/" TargetMode="External"/><Relationship Id="rId149" Type="http://schemas.openxmlformats.org/officeDocument/2006/relationships/hyperlink" Target="https://www.pinterest.com/pin/528047125032747346/" TargetMode="External"/><Relationship Id="rId150" Type="http://schemas.openxmlformats.org/officeDocument/2006/relationships/hyperlink" Target="https://en.wikipedia.org/wiki/Freeze_(breakdancing_move)" TargetMode="External"/><Relationship Id="rId151" Type="http://schemas.openxmlformats.org/officeDocument/2006/relationships/hyperlink" Target="https://www.redbull.com/int-en/break-advice-fundamentals" TargetMode="External"/><Relationship Id="rId152" Type="http://schemas.openxmlformats.org/officeDocument/2006/relationships/hyperlink" Target="https://m.youtube.com/watch?v=6l_CysJIX8A" TargetMode="External"/><Relationship Id="rId153" Type="http://schemas.openxmlformats.org/officeDocument/2006/relationships/hyperlink" Target="https://bboydojo.com/breaking-training/how-to-do-turtles/" TargetMode="External"/><Relationship Id="rId154" Type="http://schemas.openxmlformats.org/officeDocument/2006/relationships/hyperlink" Target="https://redbull.com/in-en/how-to-do-shoulder-spin-breaking" TargetMode="External"/><Relationship Id="rId155" Type="http://schemas.openxmlformats.org/officeDocument/2006/relationships/hyperlink" Target="https://uk.pinterest.com/easydancehiphop/how-to-breakdance-freezes/" TargetMode="External"/><Relationship Id="rId156" Type="http://schemas.openxmlformats.org/officeDocument/2006/relationships/hyperlink" Target="https://cl.pinterest.com/pin/33706697205096077/" TargetMode="External"/><Relationship Id="rId157" Type="http://schemas.openxmlformats.org/officeDocument/2006/relationships/hyperlink" Target="https://bboydojo.com/?p=8280" TargetMode="External"/><Relationship Id="rId158" Type="http://schemas.openxmlformats.org/officeDocument/2006/relationships/hyperlink" Target="https://thebreaks.org/articles/backspin.html" TargetMode="External"/><Relationship Id="rId159" Type="http://schemas.openxmlformats.org/officeDocument/2006/relationships/hyperlink" Target="https://www.youtube.com/watch?v=izg50nID8as" TargetMode="External"/><Relationship Id="rId160" Type="http://schemas.openxmlformats.org/officeDocument/2006/relationships/hyperlink" Target="https://www.youtube.com/watch?v=1qXeqK5Tr5E" TargetMode="External"/><Relationship Id="rId161" Type="http://schemas.openxmlformats.org/officeDocument/2006/relationships/hyperlink" Target="https://ar.pinterest.com/pin/548524429595301774/" TargetMode="External"/><Relationship Id="rId162" Type="http://schemas.openxmlformats.org/officeDocument/2006/relationships/hyperlink" Target="https://uk.pinterest.com/vincanitv/how-to-breakdance-breaking-tutorials/" TargetMode="External"/><Relationship Id="rId163" Type="http://schemas.openxmlformats.org/officeDocument/2006/relationships/hyperlink" Target="https://www.youtube.com/watch?v=oG25k9MKepo" TargetMode="External"/><Relationship Id="rId164" Type="http://schemas.openxmlformats.org/officeDocument/2006/relationships/hyperlink" Target="https://www.youtube.com/watch?v=m5DocuF1vHo" TargetMode="External"/><Relationship Id="rId165" Type="http://schemas.openxmlformats.org/officeDocument/2006/relationships/hyperlink" Target="https://www.youtube.com/watch?v=4TQAPtUaxvE" TargetMode="External"/><Relationship Id="rId166" Type="http://schemas.openxmlformats.org/officeDocument/2006/relationships/hyperlink" Target="https://greatmats.com/sport-karate-how-to-540-kick.php" TargetMode="External"/><Relationship Id="rId167" Type="http://schemas.openxmlformats.org/officeDocument/2006/relationships/hyperlink" Target="https://www.pinterest.com/ideas/540-kick/940426290881/" TargetMode="External"/><Relationship Id="rId168" Type="http://schemas.openxmlformats.org/officeDocument/2006/relationships/hyperlink" Target="https://www.youtube.com/watch?v=i6MpgE1s8Cw" TargetMode="External"/><Relationship Id="rId169" Type="http://schemas.openxmlformats.org/officeDocument/2006/relationships/hyperlink" Target="https://www.youtube.com/watch?v=WxjmXubLLOc" TargetMode="External"/><Relationship Id="rId170" Type="http://schemas.openxmlformats.org/officeDocument/2006/relationships/hyperlink" Target="https://www.youtube.com/watch?v=ahOFZ-to8XY" TargetMode="External"/><Relationship Id="rId171" Type="http://schemas.openxmlformats.org/officeDocument/2006/relationships/hyperlink" Target="https://en.wikipedia.org/wiki/Butterfly_kick" TargetMode="External"/><Relationship Id="rId172" Type="http://schemas.openxmlformats.org/officeDocument/2006/relationships/hyperlink" Target="https://www.pinterest.com/pin/butterfly-kick-tutorial--675962225337361030/" TargetMode="External"/><Relationship Id="rId173" Type="http://schemas.openxmlformats.org/officeDocument/2006/relationships/hyperlink" Target="https://www.flashmavi.com/learn/learn-the-swipe-breakdance" TargetMode="External"/><Relationship Id="rId174" Type="http://schemas.openxmlformats.org/officeDocument/2006/relationships/hyperlink" Target="https://www.youtube.com/watch?v=TrShDnZ7tR0" TargetMode="External"/><Relationship Id="rId175" Type="http://schemas.openxmlformats.org/officeDocument/2006/relationships/hyperlink" Target="https://www.redbull.com/in-en/how-to-do-master-swipe-breaking" TargetMode="External"/><Relationship Id="rId176" Type="http://schemas.openxmlformats.org/officeDocument/2006/relationships/hyperlink" Target="https://en.wikipedia.org/wiki/Swipe_(breakdancing_move)" TargetMode="External"/><Relationship Id="rId177" Type="http://schemas.openxmlformats.org/officeDocument/2006/relationships/hyperlink" Target="https://www.instructables.com/How-to-Break-Dance" TargetMode="External"/><Relationship Id="rId178" Type="http://schemas.openxmlformats.org/officeDocument/2006/relationships/hyperlink" Target="https://fr.pinterest.com/pin/swipes-skip-to-1m15sec--438608451182765856/" TargetMode="External"/><Relationship Id="rId179" Type="http://schemas.openxmlformats.org/officeDocument/2006/relationships/hyperlink" Target="https://en.wikipedia.org/wiki/Drop_(breakdancing_move)" TargetMode="External"/><Relationship Id="rId180" Type="http://schemas.openxmlformats.org/officeDocument/2006/relationships/hyperlink" Target="https://www.youtube.com/watch?v=NSvVGx7PAtA" TargetMode="External"/><Relationship Id="rId181" Type="http://schemas.openxmlformats.org/officeDocument/2006/relationships/hyperlink" Target="https://www.youtube.com/watch?v=dyAQ1UAAtbc" TargetMode="External"/><Relationship Id="rId182" Type="http://schemas.openxmlformats.org/officeDocument/2006/relationships/hyperlink" Target="https://thebreaks.org/articles/drop.html" TargetMode="External"/><Relationship Id="rId183" Type="http://schemas.openxmlformats.org/officeDocument/2006/relationships/hyperlink" Target="https://www.youtube.com/watch?v=2GfY4AMwpxs" TargetMode="External"/><Relationship Id="rId184" Type="http://schemas.openxmlformats.org/officeDocument/2006/relationships/hyperlink" Target="https://www.youtube.com/watch?v=5lVUKmaiN58" TargetMode="External"/><Relationship Id="rId185" Type="http://schemas.openxmlformats.org/officeDocument/2006/relationships/hyperlink" Target="https://en.wikipedia.org/wiki/Spin_(breakdancing_move)" TargetMode="External"/><Relationship Id="rId186" Type="http://schemas.openxmlformats.org/officeDocument/2006/relationships/hyperlink" Target="https://www.youtube.com/watch?v=Ovtfld_ZyCs" TargetMode="External"/><Relationship Id="rId187" Type="http://schemas.openxmlformats.org/officeDocument/2006/relationships/hyperlink" Target="https://www.youtube.com/watch?v=hoPhWFTpvfg" TargetMode="External"/><Relationship Id="rId188" Type="http://schemas.openxmlformats.org/officeDocument/2006/relationships/hyperlink" Target="https://en.wikipedia.org/wiki/Windmill_(breakdancing_move)" TargetMode="External"/><Relationship Id="rId189" Type="http://schemas.openxmlformats.org/officeDocument/2006/relationships/hyperlink" Target="https://www.youtube.com/watch?v=0dB7JjpBMtI" TargetMode="External"/><Relationship Id="rId190" Type="http://schemas.openxmlformats.org/officeDocument/2006/relationships/hyperlink" Target="https://www.youtube.com/watch?v=rtynnt_u3dw" TargetMode="External"/><Relationship Id="rId191" Type="http://schemas.openxmlformats.org/officeDocument/2006/relationships/hyperlink" Target="https://www.flashmavi.com/learn/windmill-breakdance-instruction" TargetMode="External"/><Relationship Id="rId192" Type="http://schemas.openxmlformats.org/officeDocument/2006/relationships/hyperlink" Target="https://www.pinterest.com/pin/learn-how-to-windmill-complete-step-by-step-breakdance-tutorial--366480488441127707/" TargetMode="External"/><Relationship Id="rId193" Type="http://schemas.openxmlformats.org/officeDocument/2006/relationships/hyperlink" Target="https://uk.pinterest.com/easydancehiphop/how-to-breakdance-power-moves/" TargetMode="External"/><Relationship Id="rId194" Type="http://schemas.openxmlformats.org/officeDocument/2006/relationships/hyperlink" Target="https://bboydojo.com/breaking-training/how-to-do-a-handglide/" TargetMode="External"/><Relationship Id="rId195" Type="http://schemas.openxmlformats.org/officeDocument/2006/relationships/hyperlink" Target="https://www.youtube.com/watch?v=B_15ddurXG0" TargetMode="External"/><Relationship Id="rId196" Type="http://schemas.openxmlformats.org/officeDocument/2006/relationships/hyperlink" Target="https://en.wikipedia.org/wiki/Spin_(breakdancing_move)" TargetMode="External"/><Relationship Id="rId197" Type="http://schemas.openxmlformats.org/officeDocument/2006/relationships/hyperlink" Target="https://uk.pinterest.com/easydancehiphop/how-to-breakdance-power-moves/" TargetMode="External"/><Relationship Id="rId198" Type="http://schemas.openxmlformats.org/officeDocument/2006/relationships/hyperlink" Target="https://www.bilingual.bayern.de/fileadmin/user_upload/bilingual/Realschule/Faecher/Sportm/Sport8/Smw8_Acrobatics-sequence.pdf" TargetMode="External"/><Relationship Id="rId199" Type="http://schemas.openxmlformats.org/officeDocument/2006/relationships/hyperlink" Target="https://www.youtube.com/shorts/yitnutsuhSE" TargetMode="External"/><Relationship Id="rId200" Type="http://schemas.openxmlformats.org/officeDocument/2006/relationships/hyperlink" Target="https://www.youtube.com/watch?v=KIRLfAJktpE" TargetMode="External"/><Relationship Id="rId201" Type="http://schemas.openxmlformats.org/officeDocument/2006/relationships/hyperlink" Target="https://www.pinterest.com/britm159/acro-partner-tricks/" TargetMode="External"/><Relationship Id="rId202" Type="http://schemas.openxmlformats.org/officeDocument/2006/relationships/hyperlink" Target="https://www.youtube.com/watch?v=KIRLfAJktpE" TargetMode="External"/><Relationship Id="rId203" Type="http://schemas.openxmlformats.org/officeDocument/2006/relationships/hyperlink" Target="https://www.youtube.com/watch?v=mxQnM1-XztU" TargetMode="External"/><Relationship Id="rId204" Type="http://schemas.openxmlformats.org/officeDocument/2006/relationships/hyperlink" Target="https://www.youtube.com/watch?v=jDF8V8nU1mk" TargetMode="External"/><Relationship Id="rId205" Type="http://schemas.openxmlformats.org/officeDocument/2006/relationships/hyperlink" Target="https://youtube.com/watch?pp=ygUMI2NpcmN1c2xpZnRz&amp;v=uOIHj3BzARA" TargetMode="External"/><Relationship Id="rId206" Type="http://schemas.openxmlformats.org/officeDocument/2006/relationships/hyperlink" Target="https://www.pinterest.com/pin/289074869851796372/" TargetMode="External"/><Relationship Id="rId207" Type="http://schemas.openxmlformats.org/officeDocument/2006/relationships/hyperlink" Target="https://uk.pinterest.com/ideas/acro-partner-tricks/956433478775/" TargetMode="External"/><Relationship Id="rId208" Type="http://schemas.openxmlformats.org/officeDocument/2006/relationships/hyperlink" Target="https://en.wikipedia.org/wiki/Acro_dance" TargetMode="External"/><Relationship Id="rId209" Type="http://schemas.openxmlformats.org/officeDocument/2006/relationships/hyperlink" Target="https://en.wikipedia.org/wiki/Adagio_(acrobatics)" TargetMode="External"/><Relationship Id="rId210" Type="http://schemas.openxmlformats.org/officeDocument/2006/relationships/hyperlink" Target="https://www.youtube.com/watch?v=1UV1gB0Q2bo" TargetMode="External"/><Relationship Id="rId211" Type="http://schemas.openxmlformats.org/officeDocument/2006/relationships/hyperlink" Target="https://www.youtube.com/watch?v=Dzev3wIpfuY" TargetMode="External"/><Relationship Id="rId212" Type="http://schemas.openxmlformats.org/officeDocument/2006/relationships/hyperlink" Target="https://www.circomedia.com/partner-acro-conditionin/" TargetMode="External"/><Relationship Id="rId213" Type="http://schemas.openxmlformats.org/officeDocument/2006/relationships/hyperlink" Target="https://www.pinterest.com/ideas/acro-dance-lifts/904622444319/" TargetMode="External"/><Relationship Id="rId214" Type="http://schemas.openxmlformats.org/officeDocument/2006/relationships/hyperlink" Target="https://www.pinterest.com/megejordan/acro-stunts/" TargetMode="External"/><Relationship Id="rId215" Type="http://schemas.openxmlformats.org/officeDocument/2006/relationships/hyperlink" Target="https://dancekar.com/public/docs/2027_Acrobatic_Skill_Set_Guidelines.pdf" TargetMode="External"/><Relationship Id="rId216" Type="http://schemas.openxmlformats.org/officeDocument/2006/relationships/hyperlink" Target="https://dancethecuttingedge.com/acro-partner-work-curriculum-tutorials-syllabus-lessons/" TargetMode="External"/><Relationship Id="rId217" Type="http://schemas.openxmlformats.org/officeDocument/2006/relationships/hyperlink" Target="https://www.pinterest.com/britm159/acro-partner-tricks/" TargetMode="External"/><Relationship Id="rId218" Type="http://schemas.openxmlformats.org/officeDocument/2006/relationships/hyperlink" Target="https://www.yogajournal.com/poses/acroyoga-101-classic-sequence-beginners?scope=anon" TargetMode="External"/><Relationship Id="rId219" Type="http://schemas.openxmlformats.org/officeDocument/2006/relationships/hyperlink" Target="https://www.youtube.com/watch?v=Ar_YxykYIbs" TargetMode="External"/><Relationship Id="rId220" Type="http://schemas.openxmlformats.org/officeDocument/2006/relationships/hyperlink" Target="https://www.circomedia.com/acro-acrobalance-2/" TargetMode="External"/><Relationship Id="rId221" Type="http://schemas.openxmlformats.org/officeDocument/2006/relationships/hyperlink" Target="https://www.youtube.com/watch?v=NtwyhxwT4Ok" TargetMode="External"/><Relationship Id="rId222" Type="http://schemas.openxmlformats.org/officeDocument/2006/relationships/hyperlink" Target="https://www.pinterest.com/ideas/acrobatic-partner-tricks/912982867505/" TargetMode="External"/><Relationship Id="rId223" Type="http://schemas.openxmlformats.org/officeDocument/2006/relationships/hyperlink" Target="https://www.youtube.com/watch?v=Q5s_HCPdD6E" TargetMode="External"/><Relationship Id="rId224" Type="http://schemas.openxmlformats.org/officeDocument/2006/relationships/hyperlink" Target="https://www.youtube.com/watch?v=csowQrOqq1A&amp;pp=0gcJCfcAhR29_xXO" TargetMode="External"/><Relationship Id="rId225" Type="http://schemas.openxmlformats.org/officeDocument/2006/relationships/hyperlink" Target="https://www.pinterest.com/britm159/acro-partner-tricks/" TargetMode="External"/><Relationship Id="rId226" Type="http://schemas.openxmlformats.org/officeDocument/2006/relationships/hyperlink" Target="https://danceaustralia.com.au/news/the-art-of-pas-de-deux-part-ii1" TargetMode="External"/><Relationship Id="rId227" Type="http://schemas.openxmlformats.org/officeDocument/2006/relationships/hyperlink" Target="https://en.wikipedia.org/wiki/Dance_partnering" TargetMode="External"/><Relationship Id="rId228" Type="http://schemas.openxmlformats.org/officeDocument/2006/relationships/hyperlink" Target="https://www.youtube.com/watch?v=N3AH7W1YFTY" TargetMode="External"/><Relationship Id="rId229" Type="http://schemas.openxmlformats.org/officeDocument/2006/relationships/hyperlink" Target="https://www.pinterest.com/britm159/acro-partner-tricks/" TargetMode="External"/><Relationship Id="rId230" Type="http://schemas.openxmlformats.org/officeDocument/2006/relationships/hyperlink" Target="https://en.wikipedia.org/wiki/Dance_partnering" TargetMode="External"/><Relationship Id="rId231" Type="http://schemas.openxmlformats.org/officeDocument/2006/relationships/hyperlink" Target="https://www.pinterest.com/ideas/acro-dance-lifts/904622444319/" TargetMode="External"/><Relationship Id="rId232"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23.85" hidden="false" customHeight="false" outlineLevel="0" collapsed="false">
      <c r="A5" s="3" t="s">
        <v>3</v>
      </c>
    </row>
    <row r="6" customFormat="false" ht="15" hidden="false" customHeight="false" outlineLevel="0" collapsed="false">
      <c r="A6" s="3"/>
    </row>
    <row r="7" customFormat="false" ht="15" hidden="false" customHeight="false" outlineLevel="0" collapsed="false">
      <c r="A7" s="4"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row>
    <row r="12" customFormat="false" ht="15" hidden="false" customHeight="false" outlineLevel="0" collapsed="false">
      <c r="A12" s="4" t="s">
        <v>8</v>
      </c>
    </row>
    <row r="13" customFormat="false" ht="23.85" hidden="false" customHeight="false" outlineLevel="0" collapsed="false">
      <c r="A13" s="3" t="s">
        <v>9</v>
      </c>
    </row>
    <row r="14" customFormat="false" ht="15" hidden="false" customHeight="false" outlineLevel="0" collapsed="false">
      <c r="A14" s="3" t="s">
        <v>10</v>
      </c>
    </row>
    <row r="15" customFormat="false" ht="23.8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row>
    <row r="19" customFormat="false" ht="15" hidden="false" customHeight="false" outlineLevel="0" collapsed="false">
      <c r="A19" s="4" t="s">
        <v>14</v>
      </c>
    </row>
    <row r="20" customFormat="false" ht="15" hidden="false" customHeight="false" outlineLevel="0" collapsed="false">
      <c r="A20" s="3" t="s">
        <v>15</v>
      </c>
    </row>
    <row r="21" customFormat="false" ht="15" hidden="false" customHeight="false" outlineLevel="0" collapsed="false">
      <c r="A21" s="3" t="s">
        <v>16</v>
      </c>
    </row>
    <row r="22" customFormat="false" ht="15" hidden="false" customHeight="false" outlineLevel="0" collapsed="false">
      <c r="A22" s="3" t="s">
        <v>17</v>
      </c>
    </row>
    <row r="23" customFormat="false" ht="15" hidden="false" customHeight="false" outlineLevel="0" collapsed="false">
      <c r="A23" s="3"/>
    </row>
    <row r="24" customFormat="false" ht="15" hidden="false" customHeight="false" outlineLevel="0" collapsed="false">
      <c r="A24" s="4" t="s">
        <v>18</v>
      </c>
    </row>
    <row r="25" customFormat="false" ht="23.85" hidden="false" customHeight="false" outlineLevel="0" collapsed="false">
      <c r="A25"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4" min="3" style="0" width="9"/>
    <col collapsed="false" customWidth="true" hidden="false" outlineLevel="0" max="5" min="5" style="0" width="30"/>
    <col collapsed="false" customWidth="true" hidden="false" outlineLevel="0" max="6" min="6" style="0" width="45"/>
    <col collapsed="false" customWidth="true" hidden="false" outlineLevel="0" max="7" min="7" style="0" width="60"/>
    <col collapsed="false" customWidth="true" hidden="false" outlineLevel="0" max="8" min="8" style="0" width="35"/>
    <col collapsed="false" customWidth="true" hidden="false" outlineLevel="0" max="9" min="9" style="0" width="13"/>
    <col collapsed="false" customWidth="true" hidden="false" outlineLevel="0" max="10" min="10" style="0" width="40"/>
    <col collapsed="false" customWidth="true" hidden="false" outlineLevel="0" max="11" min="11" style="0" width="35"/>
    <col collapsed="false" customWidth="true" hidden="false" outlineLevel="0" max="12" min="12" style="0" width="10"/>
    <col collapsed="false" customWidth="true" hidden="false" outlineLevel="0" max="13" min="13" style="0" width="16"/>
    <col collapsed="false" customWidth="true" hidden="false" outlineLevel="0" max="14" min="14" style="0" width="30"/>
  </cols>
  <sheetData>
    <row r="1" customFormat="false" ht="30" hidden="false" customHeight="true" outlineLevel="0" collapsed="false">
      <c r="A1" s="5" t="s">
        <v>20</v>
      </c>
      <c r="B1" s="5" t="s">
        <v>21</v>
      </c>
      <c r="C1" s="5" t="s">
        <v>22</v>
      </c>
      <c r="D1" s="5" t="s">
        <v>23</v>
      </c>
      <c r="E1" s="5" t="s">
        <v>24</v>
      </c>
      <c r="F1" s="5" t="s">
        <v>25</v>
      </c>
      <c r="G1" s="5" t="s">
        <v>26</v>
      </c>
      <c r="H1" s="5" t="s">
        <v>27</v>
      </c>
      <c r="I1" s="5" t="s">
        <v>28</v>
      </c>
      <c r="J1" s="5" t="s">
        <v>29</v>
      </c>
      <c r="K1" s="5" t="s">
        <v>30</v>
      </c>
      <c r="L1" s="5" t="s">
        <v>31</v>
      </c>
      <c r="M1" s="5" t="s">
        <v>32</v>
      </c>
      <c r="N1" s="5" t="s">
        <v>33</v>
      </c>
    </row>
    <row r="2" customFormat="false" ht="91" hidden="false" customHeight="false" outlineLevel="0" collapsed="false">
      <c r="A2" s="6" t="s">
        <v>34</v>
      </c>
      <c r="B2" s="6" t="s">
        <v>35</v>
      </c>
      <c r="C2" s="6" t="s">
        <v>36</v>
      </c>
      <c r="D2" s="6"/>
      <c r="E2" s="6" t="s">
        <v>37</v>
      </c>
      <c r="F2" s="6" t="s">
        <v>38</v>
      </c>
      <c r="G2" s="6" t="s">
        <v>39</v>
      </c>
      <c r="H2" s="6" t="s">
        <v>40</v>
      </c>
      <c r="I2" s="7" t="s">
        <v>41</v>
      </c>
      <c r="J2" s="6" t="s">
        <v>42</v>
      </c>
      <c r="K2" s="6" t="s">
        <v>43</v>
      </c>
      <c r="L2" s="6" t="s">
        <v>44</v>
      </c>
      <c r="M2" s="8"/>
      <c r="N2" s="8"/>
    </row>
    <row r="3" customFormat="false" ht="68.65" hidden="false" customHeight="false" outlineLevel="0" collapsed="false">
      <c r="A3" s="9" t="s">
        <v>34</v>
      </c>
      <c r="B3" s="9" t="s">
        <v>35</v>
      </c>
      <c r="C3" s="9" t="s">
        <v>45</v>
      </c>
      <c r="D3" s="9" t="s">
        <v>44</v>
      </c>
      <c r="E3" s="9" t="s">
        <v>46</v>
      </c>
      <c r="F3" s="9" t="s">
        <v>47</v>
      </c>
      <c r="G3" s="9" t="s">
        <v>48</v>
      </c>
      <c r="H3" s="9" t="s">
        <v>49</v>
      </c>
      <c r="I3" s="7" t="s">
        <v>41</v>
      </c>
      <c r="J3" s="9" t="s">
        <v>42</v>
      </c>
      <c r="K3" s="9" t="s">
        <v>43</v>
      </c>
      <c r="L3" s="9" t="s">
        <v>44</v>
      </c>
      <c r="M3" s="8"/>
      <c r="N3" s="8"/>
    </row>
    <row r="4" customFormat="false" ht="68.65" hidden="false" customHeight="false" outlineLevel="0" collapsed="false">
      <c r="A4" s="9" t="s">
        <v>34</v>
      </c>
      <c r="B4" s="9" t="s">
        <v>35</v>
      </c>
      <c r="C4" s="9" t="s">
        <v>50</v>
      </c>
      <c r="D4" s="9" t="s">
        <v>44</v>
      </c>
      <c r="E4" s="9" t="s">
        <v>51</v>
      </c>
      <c r="F4" s="9" t="s">
        <v>52</v>
      </c>
      <c r="G4" s="9" t="s">
        <v>53</v>
      </c>
      <c r="H4" s="9" t="s">
        <v>54</v>
      </c>
      <c r="I4" s="7" t="s">
        <v>41</v>
      </c>
      <c r="J4" s="9" t="s">
        <v>42</v>
      </c>
      <c r="K4" s="9" t="s">
        <v>43</v>
      </c>
      <c r="L4" s="9" t="s">
        <v>44</v>
      </c>
      <c r="M4" s="8"/>
      <c r="N4" s="8"/>
    </row>
    <row r="5" customFormat="false" ht="68.65" hidden="false" customHeight="false" outlineLevel="0" collapsed="false">
      <c r="A5" s="6" t="s">
        <v>34</v>
      </c>
      <c r="B5" s="6" t="s">
        <v>35</v>
      </c>
      <c r="C5" s="6" t="s">
        <v>55</v>
      </c>
      <c r="D5" s="6"/>
      <c r="E5" s="6" t="s">
        <v>56</v>
      </c>
      <c r="F5" s="6" t="s">
        <v>57</v>
      </c>
      <c r="G5" s="6" t="s">
        <v>58</v>
      </c>
      <c r="H5" s="6" t="s">
        <v>59</v>
      </c>
      <c r="I5" s="7" t="s">
        <v>41</v>
      </c>
      <c r="J5" s="6" t="s">
        <v>42</v>
      </c>
      <c r="K5" s="6" t="s">
        <v>43</v>
      </c>
      <c r="L5" s="6" t="s">
        <v>44</v>
      </c>
      <c r="M5" s="8"/>
      <c r="N5" s="8"/>
    </row>
    <row r="6" customFormat="false" ht="57.45" hidden="false" customHeight="false" outlineLevel="0" collapsed="false">
      <c r="A6" s="9" t="s">
        <v>34</v>
      </c>
      <c r="B6" s="9" t="s">
        <v>35</v>
      </c>
      <c r="C6" s="9" t="s">
        <v>50</v>
      </c>
      <c r="D6" s="9" t="s">
        <v>44</v>
      </c>
      <c r="E6" s="9" t="s">
        <v>60</v>
      </c>
      <c r="F6" s="9" t="s">
        <v>61</v>
      </c>
      <c r="G6" s="9" t="s">
        <v>62</v>
      </c>
      <c r="H6" s="9" t="s">
        <v>63</v>
      </c>
      <c r="I6" s="7" t="s">
        <v>41</v>
      </c>
      <c r="J6" s="9" t="s">
        <v>42</v>
      </c>
      <c r="K6" s="9" t="s">
        <v>43</v>
      </c>
      <c r="L6" s="9" t="s">
        <v>44</v>
      </c>
      <c r="M6" s="8"/>
      <c r="N6" s="8"/>
    </row>
    <row r="7" customFormat="false" ht="57.45" hidden="false" customHeight="false" outlineLevel="0" collapsed="false">
      <c r="A7" s="9" t="s">
        <v>34</v>
      </c>
      <c r="B7" s="9" t="s">
        <v>64</v>
      </c>
      <c r="C7" s="9" t="s">
        <v>45</v>
      </c>
      <c r="D7" s="9" t="s">
        <v>44</v>
      </c>
      <c r="E7" s="9" t="s">
        <v>65</v>
      </c>
      <c r="F7" s="9" t="s">
        <v>66</v>
      </c>
      <c r="G7" s="9" t="s">
        <v>67</v>
      </c>
      <c r="H7" s="9" t="s">
        <v>68</v>
      </c>
      <c r="I7" s="7" t="s">
        <v>41</v>
      </c>
      <c r="J7" s="9" t="s">
        <v>69</v>
      </c>
      <c r="K7" s="9" t="s">
        <v>70</v>
      </c>
      <c r="L7" s="9"/>
      <c r="M7" s="8"/>
      <c r="N7" s="8"/>
    </row>
    <row r="8" customFormat="false" ht="68.65" hidden="false" customHeight="false" outlineLevel="0" collapsed="false">
      <c r="A8" s="9" t="s">
        <v>34</v>
      </c>
      <c r="B8" s="9" t="s">
        <v>64</v>
      </c>
      <c r="C8" s="9" t="s">
        <v>50</v>
      </c>
      <c r="D8" s="9" t="s">
        <v>44</v>
      </c>
      <c r="E8" s="9" t="s">
        <v>71</v>
      </c>
      <c r="F8" s="9" t="s">
        <v>72</v>
      </c>
      <c r="G8" s="9" t="s">
        <v>73</v>
      </c>
      <c r="H8" s="9" t="s">
        <v>74</v>
      </c>
      <c r="I8" s="7" t="s">
        <v>41</v>
      </c>
      <c r="J8" s="9" t="s">
        <v>69</v>
      </c>
      <c r="K8" s="9" t="s">
        <v>70</v>
      </c>
      <c r="L8" s="9"/>
      <c r="M8" s="8"/>
      <c r="N8" s="8"/>
    </row>
    <row r="9" customFormat="false" ht="46.25" hidden="false" customHeight="false" outlineLevel="0" collapsed="false">
      <c r="A9" s="6" t="s">
        <v>34</v>
      </c>
      <c r="B9" s="6" t="s">
        <v>64</v>
      </c>
      <c r="C9" s="6" t="s">
        <v>55</v>
      </c>
      <c r="D9" s="6"/>
      <c r="E9" s="6" t="s">
        <v>75</v>
      </c>
      <c r="F9" s="6" t="s">
        <v>76</v>
      </c>
      <c r="G9" s="6" t="s">
        <v>77</v>
      </c>
      <c r="H9" s="6" t="s">
        <v>78</v>
      </c>
      <c r="I9" s="7" t="s">
        <v>41</v>
      </c>
      <c r="J9" s="6" t="s">
        <v>69</v>
      </c>
      <c r="K9" s="6" t="s">
        <v>70</v>
      </c>
      <c r="L9" s="6"/>
      <c r="M9" s="8"/>
      <c r="N9" s="8"/>
    </row>
    <row r="10" customFormat="false" ht="79.85" hidden="false" customHeight="false" outlineLevel="0" collapsed="false">
      <c r="A10" s="6" t="s">
        <v>34</v>
      </c>
      <c r="B10" s="6" t="s">
        <v>79</v>
      </c>
      <c r="C10" s="6" t="s">
        <v>36</v>
      </c>
      <c r="D10" s="6"/>
      <c r="E10" s="6" t="s">
        <v>80</v>
      </c>
      <c r="F10" s="6" t="s">
        <v>81</v>
      </c>
      <c r="G10" s="6" t="s">
        <v>82</v>
      </c>
      <c r="H10" s="6" t="s">
        <v>83</v>
      </c>
      <c r="I10" s="7" t="s">
        <v>41</v>
      </c>
      <c r="J10" s="6" t="s">
        <v>84</v>
      </c>
      <c r="K10" s="6" t="s">
        <v>85</v>
      </c>
      <c r="L10" s="6"/>
      <c r="M10" s="8"/>
      <c r="N10" s="8"/>
    </row>
    <row r="11" customFormat="false" ht="68.65" hidden="false" customHeight="false" outlineLevel="0" collapsed="false">
      <c r="A11" s="9" t="s">
        <v>34</v>
      </c>
      <c r="B11" s="9" t="s">
        <v>79</v>
      </c>
      <c r="C11" s="9" t="s">
        <v>45</v>
      </c>
      <c r="D11" s="9" t="s">
        <v>44</v>
      </c>
      <c r="E11" s="9" t="s">
        <v>86</v>
      </c>
      <c r="F11" s="9" t="s">
        <v>87</v>
      </c>
      <c r="G11" s="9" t="s">
        <v>88</v>
      </c>
      <c r="H11" s="9" t="s">
        <v>89</v>
      </c>
      <c r="I11" s="7" t="s">
        <v>41</v>
      </c>
      <c r="J11" s="9" t="s">
        <v>84</v>
      </c>
      <c r="K11" s="9" t="s">
        <v>85</v>
      </c>
      <c r="L11" s="9"/>
      <c r="M11" s="8"/>
      <c r="N11" s="8"/>
    </row>
    <row r="12" customFormat="false" ht="68.65" hidden="false" customHeight="false" outlineLevel="0" collapsed="false">
      <c r="A12" s="9" t="s">
        <v>34</v>
      </c>
      <c r="B12" s="9" t="s">
        <v>79</v>
      </c>
      <c r="C12" s="9" t="s">
        <v>50</v>
      </c>
      <c r="D12" s="9" t="s">
        <v>44</v>
      </c>
      <c r="E12" s="9" t="s">
        <v>90</v>
      </c>
      <c r="F12" s="9" t="s">
        <v>91</v>
      </c>
      <c r="G12" s="9" t="s">
        <v>92</v>
      </c>
      <c r="H12" s="9" t="s">
        <v>93</v>
      </c>
      <c r="I12" s="7" t="s">
        <v>41</v>
      </c>
      <c r="J12" s="9" t="s">
        <v>84</v>
      </c>
      <c r="K12" s="9" t="s">
        <v>85</v>
      </c>
      <c r="L12" s="9"/>
      <c r="M12" s="8"/>
      <c r="N12" s="8"/>
    </row>
    <row r="13" customFormat="false" ht="57.45" hidden="false" customHeight="false" outlineLevel="0" collapsed="false">
      <c r="A13" s="6" t="s">
        <v>34</v>
      </c>
      <c r="B13" s="6" t="s">
        <v>79</v>
      </c>
      <c r="C13" s="6" t="s">
        <v>55</v>
      </c>
      <c r="D13" s="6"/>
      <c r="E13" s="6" t="s">
        <v>94</v>
      </c>
      <c r="F13" s="6" t="s">
        <v>95</v>
      </c>
      <c r="G13" s="6" t="s">
        <v>96</v>
      </c>
      <c r="H13" s="6" t="s">
        <v>97</v>
      </c>
      <c r="I13" s="7" t="s">
        <v>41</v>
      </c>
      <c r="J13" s="6" t="s">
        <v>84</v>
      </c>
      <c r="K13" s="6" t="s">
        <v>85</v>
      </c>
      <c r="L13" s="6" t="s">
        <v>44</v>
      </c>
      <c r="M13" s="8"/>
      <c r="N13" s="8"/>
    </row>
    <row r="14" customFormat="false" ht="68.65" hidden="false" customHeight="false" outlineLevel="0" collapsed="false">
      <c r="A14" s="6" t="s">
        <v>34</v>
      </c>
      <c r="B14" s="6" t="s">
        <v>98</v>
      </c>
      <c r="C14" s="6" t="s">
        <v>36</v>
      </c>
      <c r="D14" s="6"/>
      <c r="E14" s="6" t="s">
        <v>98</v>
      </c>
      <c r="F14" s="6" t="s">
        <v>99</v>
      </c>
      <c r="G14" s="6" t="s">
        <v>100</v>
      </c>
      <c r="H14" s="6" t="s">
        <v>101</v>
      </c>
      <c r="I14" s="10" t="s">
        <v>102</v>
      </c>
      <c r="J14" s="6" t="s">
        <v>103</v>
      </c>
      <c r="K14" s="6" t="s">
        <v>104</v>
      </c>
      <c r="L14" s="6"/>
      <c r="M14" s="8"/>
      <c r="N14" s="8"/>
    </row>
    <row r="15" customFormat="false" ht="57.45" hidden="false" customHeight="false" outlineLevel="0" collapsed="false">
      <c r="A15" s="9" t="s">
        <v>34</v>
      </c>
      <c r="B15" s="9" t="s">
        <v>98</v>
      </c>
      <c r="C15" s="9" t="s">
        <v>45</v>
      </c>
      <c r="D15" s="9" t="s">
        <v>44</v>
      </c>
      <c r="E15" s="9" t="s">
        <v>105</v>
      </c>
      <c r="F15" s="9" t="s">
        <v>106</v>
      </c>
      <c r="G15" s="9" t="s">
        <v>107</v>
      </c>
      <c r="H15" s="9" t="s">
        <v>108</v>
      </c>
      <c r="I15" s="10" t="s">
        <v>102</v>
      </c>
      <c r="J15" s="9" t="s">
        <v>103</v>
      </c>
      <c r="K15" s="9" t="s">
        <v>104</v>
      </c>
      <c r="L15" s="9" t="s">
        <v>44</v>
      </c>
      <c r="M15" s="8"/>
      <c r="N15" s="8"/>
    </row>
    <row r="16" customFormat="false" ht="57.45" hidden="false" customHeight="false" outlineLevel="0" collapsed="false">
      <c r="A16" s="9" t="s">
        <v>34</v>
      </c>
      <c r="B16" s="9" t="s">
        <v>98</v>
      </c>
      <c r="C16" s="9" t="s">
        <v>50</v>
      </c>
      <c r="D16" s="9" t="s">
        <v>44</v>
      </c>
      <c r="E16" s="9" t="s">
        <v>109</v>
      </c>
      <c r="F16" s="9" t="s">
        <v>110</v>
      </c>
      <c r="G16" s="9" t="s">
        <v>111</v>
      </c>
      <c r="H16" s="9" t="s">
        <v>112</v>
      </c>
      <c r="I16" s="10" t="s">
        <v>102</v>
      </c>
      <c r="J16" s="9" t="s">
        <v>103</v>
      </c>
      <c r="K16" s="9" t="s">
        <v>104</v>
      </c>
      <c r="L16" s="9" t="s">
        <v>44</v>
      </c>
      <c r="M16" s="8"/>
      <c r="N16" s="8"/>
    </row>
    <row r="17" customFormat="false" ht="57.45" hidden="false" customHeight="false" outlineLevel="0" collapsed="false">
      <c r="A17" s="6" t="s">
        <v>34</v>
      </c>
      <c r="B17" s="6" t="s">
        <v>113</v>
      </c>
      <c r="C17" s="6" t="s">
        <v>36</v>
      </c>
      <c r="D17" s="6"/>
      <c r="E17" s="6" t="s">
        <v>114</v>
      </c>
      <c r="F17" s="6" t="s">
        <v>115</v>
      </c>
      <c r="G17" s="6" t="s">
        <v>116</v>
      </c>
      <c r="H17" s="6" t="s">
        <v>117</v>
      </c>
      <c r="I17" s="10" t="s">
        <v>102</v>
      </c>
      <c r="J17" s="6" t="s">
        <v>118</v>
      </c>
      <c r="K17" s="6" t="s">
        <v>119</v>
      </c>
      <c r="L17" s="6"/>
      <c r="M17" s="8"/>
      <c r="N17" s="8"/>
    </row>
    <row r="18" customFormat="false" ht="68.65" hidden="false" customHeight="false" outlineLevel="0" collapsed="false">
      <c r="A18" s="9" t="s">
        <v>34</v>
      </c>
      <c r="B18" s="9" t="s">
        <v>113</v>
      </c>
      <c r="C18" s="9" t="s">
        <v>45</v>
      </c>
      <c r="D18" s="9" t="s">
        <v>44</v>
      </c>
      <c r="E18" s="9" t="s">
        <v>120</v>
      </c>
      <c r="F18" s="9" t="s">
        <v>121</v>
      </c>
      <c r="G18" s="9" t="s">
        <v>122</v>
      </c>
      <c r="H18" s="9" t="s">
        <v>123</v>
      </c>
      <c r="I18" s="10" t="s">
        <v>102</v>
      </c>
      <c r="J18" s="9" t="s">
        <v>118</v>
      </c>
      <c r="K18" s="9" t="s">
        <v>119</v>
      </c>
      <c r="L18" s="9"/>
      <c r="M18" s="8"/>
      <c r="N18" s="8"/>
    </row>
    <row r="19" customFormat="false" ht="57.45" hidden="false" customHeight="false" outlineLevel="0" collapsed="false">
      <c r="A19" s="9" t="s">
        <v>34</v>
      </c>
      <c r="B19" s="9" t="s">
        <v>113</v>
      </c>
      <c r="C19" s="9" t="s">
        <v>50</v>
      </c>
      <c r="D19" s="9" t="s">
        <v>44</v>
      </c>
      <c r="E19" s="9" t="s">
        <v>124</v>
      </c>
      <c r="F19" s="9" t="s">
        <v>125</v>
      </c>
      <c r="G19" s="9" t="s">
        <v>126</v>
      </c>
      <c r="H19" s="9" t="s">
        <v>127</v>
      </c>
      <c r="I19" s="10" t="s">
        <v>102</v>
      </c>
      <c r="J19" s="9" t="s">
        <v>118</v>
      </c>
      <c r="K19" s="9" t="s">
        <v>119</v>
      </c>
      <c r="L19" s="9"/>
      <c r="M19" s="8"/>
      <c r="N19" s="8"/>
    </row>
    <row r="20" customFormat="false" ht="57.45" hidden="false" customHeight="false" outlineLevel="0" collapsed="false">
      <c r="A20" s="6" t="s">
        <v>34</v>
      </c>
      <c r="B20" s="6" t="s">
        <v>113</v>
      </c>
      <c r="C20" s="6" t="s">
        <v>55</v>
      </c>
      <c r="D20" s="6"/>
      <c r="E20" s="6" t="s">
        <v>128</v>
      </c>
      <c r="F20" s="6" t="s">
        <v>129</v>
      </c>
      <c r="G20" s="6" t="s">
        <v>130</v>
      </c>
      <c r="H20" s="6" t="s">
        <v>131</v>
      </c>
      <c r="I20" s="10" t="s">
        <v>102</v>
      </c>
      <c r="J20" s="6" t="s">
        <v>118</v>
      </c>
      <c r="K20" s="6" t="s">
        <v>119</v>
      </c>
      <c r="L20" s="6"/>
      <c r="M20" s="8"/>
      <c r="N20" s="8"/>
    </row>
    <row r="21" customFormat="false" ht="79.85" hidden="false" customHeight="false" outlineLevel="0" collapsed="false">
      <c r="A21" s="6" t="s">
        <v>34</v>
      </c>
      <c r="B21" s="6" t="s">
        <v>113</v>
      </c>
      <c r="C21" s="6" t="s">
        <v>36</v>
      </c>
      <c r="D21" s="6"/>
      <c r="E21" s="6" t="s">
        <v>132</v>
      </c>
      <c r="F21" s="6" t="s">
        <v>133</v>
      </c>
      <c r="G21" s="6" t="s">
        <v>134</v>
      </c>
      <c r="H21" s="6" t="s">
        <v>135</v>
      </c>
      <c r="I21" s="10" t="s">
        <v>102</v>
      </c>
      <c r="J21" s="6" t="s">
        <v>118</v>
      </c>
      <c r="K21" s="6" t="s">
        <v>119</v>
      </c>
      <c r="L21" s="6"/>
      <c r="M21" s="8"/>
      <c r="N21" s="8"/>
    </row>
    <row r="22" customFormat="false" ht="68.65" hidden="false" customHeight="false" outlineLevel="0" collapsed="false">
      <c r="A22" s="9" t="s">
        <v>34</v>
      </c>
      <c r="B22" s="9" t="s">
        <v>113</v>
      </c>
      <c r="C22" s="9" t="s">
        <v>45</v>
      </c>
      <c r="D22" s="9" t="s">
        <v>44</v>
      </c>
      <c r="E22" s="9" t="s">
        <v>136</v>
      </c>
      <c r="F22" s="9" t="s">
        <v>137</v>
      </c>
      <c r="G22" s="9" t="s">
        <v>138</v>
      </c>
      <c r="H22" s="9" t="s">
        <v>139</v>
      </c>
      <c r="I22" s="10" t="s">
        <v>102</v>
      </c>
      <c r="J22" s="9" t="s">
        <v>118</v>
      </c>
      <c r="K22" s="9" t="s">
        <v>119</v>
      </c>
      <c r="L22" s="9"/>
      <c r="M22" s="8"/>
      <c r="N22" s="8"/>
    </row>
    <row r="23" customFormat="false" ht="57.45" hidden="false" customHeight="false" outlineLevel="0" collapsed="false">
      <c r="A23" s="9" t="s">
        <v>34</v>
      </c>
      <c r="B23" s="9" t="s">
        <v>113</v>
      </c>
      <c r="C23" s="9" t="s">
        <v>50</v>
      </c>
      <c r="D23" s="9" t="s">
        <v>44</v>
      </c>
      <c r="E23" s="9" t="s">
        <v>140</v>
      </c>
      <c r="F23" s="9" t="s">
        <v>106</v>
      </c>
      <c r="G23" s="9" t="s">
        <v>141</v>
      </c>
      <c r="H23" s="9" t="s">
        <v>142</v>
      </c>
      <c r="I23" s="10" t="s">
        <v>102</v>
      </c>
      <c r="J23" s="9" t="s">
        <v>118</v>
      </c>
      <c r="K23" s="9" t="s">
        <v>119</v>
      </c>
      <c r="L23" s="9" t="s">
        <v>44</v>
      </c>
      <c r="M23" s="8"/>
      <c r="N23" s="8"/>
    </row>
    <row r="24" customFormat="false" ht="68.65" hidden="false" customHeight="false" outlineLevel="0" collapsed="false">
      <c r="A24" s="6" t="s">
        <v>34</v>
      </c>
      <c r="B24" s="6" t="s">
        <v>143</v>
      </c>
      <c r="C24" s="6" t="s">
        <v>36</v>
      </c>
      <c r="D24" s="6"/>
      <c r="E24" s="6" t="s">
        <v>143</v>
      </c>
      <c r="F24" s="6" t="s">
        <v>144</v>
      </c>
      <c r="G24" s="6" t="s">
        <v>145</v>
      </c>
      <c r="H24" s="6" t="s">
        <v>146</v>
      </c>
      <c r="I24" s="7" t="s">
        <v>41</v>
      </c>
      <c r="J24" s="6" t="s">
        <v>147</v>
      </c>
      <c r="K24" s="6" t="s">
        <v>148</v>
      </c>
      <c r="L24" s="6"/>
      <c r="M24" s="8"/>
      <c r="N24" s="8"/>
    </row>
    <row r="25" customFormat="false" ht="57.45" hidden="false" customHeight="false" outlineLevel="0" collapsed="false">
      <c r="A25" s="9" t="s">
        <v>34</v>
      </c>
      <c r="B25" s="9" t="s">
        <v>143</v>
      </c>
      <c r="C25" s="9" t="s">
        <v>45</v>
      </c>
      <c r="D25" s="9" t="s">
        <v>44</v>
      </c>
      <c r="E25" s="9" t="s">
        <v>149</v>
      </c>
      <c r="F25" s="9" t="s">
        <v>150</v>
      </c>
      <c r="G25" s="9" t="s">
        <v>151</v>
      </c>
      <c r="H25" s="9" t="s">
        <v>152</v>
      </c>
      <c r="I25" s="7" t="s">
        <v>41</v>
      </c>
      <c r="J25" s="9" t="s">
        <v>147</v>
      </c>
      <c r="K25" s="9" t="s">
        <v>148</v>
      </c>
      <c r="L25" s="9"/>
      <c r="M25" s="8"/>
      <c r="N25" s="8"/>
    </row>
    <row r="26" customFormat="false" ht="79.85" hidden="false" customHeight="false" outlineLevel="0" collapsed="false">
      <c r="A26" s="6" t="s">
        <v>34</v>
      </c>
      <c r="B26" s="6" t="s">
        <v>153</v>
      </c>
      <c r="C26" s="6" t="s">
        <v>36</v>
      </c>
      <c r="D26" s="6"/>
      <c r="E26" s="6" t="s">
        <v>154</v>
      </c>
      <c r="F26" s="6" t="s">
        <v>155</v>
      </c>
      <c r="G26" s="6" t="s">
        <v>156</v>
      </c>
      <c r="H26" s="6" t="s">
        <v>157</v>
      </c>
      <c r="I26" s="7" t="s">
        <v>41</v>
      </c>
      <c r="J26" s="6" t="s">
        <v>158</v>
      </c>
      <c r="K26" s="6" t="s">
        <v>159</v>
      </c>
      <c r="L26" s="6" t="s">
        <v>44</v>
      </c>
      <c r="M26" s="8"/>
      <c r="N26" s="8"/>
    </row>
    <row r="27" customFormat="false" ht="57.45" hidden="false" customHeight="false" outlineLevel="0" collapsed="false">
      <c r="A27" s="9" t="s">
        <v>34</v>
      </c>
      <c r="B27" s="9" t="s">
        <v>153</v>
      </c>
      <c r="C27" s="9" t="s">
        <v>45</v>
      </c>
      <c r="D27" s="9" t="s">
        <v>44</v>
      </c>
      <c r="E27" s="9" t="s">
        <v>160</v>
      </c>
      <c r="F27" s="9" t="s">
        <v>161</v>
      </c>
      <c r="G27" s="9" t="s">
        <v>162</v>
      </c>
      <c r="H27" s="9" t="s">
        <v>163</v>
      </c>
      <c r="I27" s="7" t="s">
        <v>41</v>
      </c>
      <c r="J27" s="9" t="s">
        <v>158</v>
      </c>
      <c r="K27" s="9" t="s">
        <v>159</v>
      </c>
      <c r="L27" s="9" t="s">
        <v>44</v>
      </c>
      <c r="M27" s="8"/>
      <c r="N27" s="8"/>
    </row>
    <row r="28" customFormat="false" ht="57.45" hidden="false" customHeight="false" outlineLevel="0" collapsed="false">
      <c r="A28" s="9" t="s">
        <v>34</v>
      </c>
      <c r="B28" s="9" t="s">
        <v>153</v>
      </c>
      <c r="C28" s="9" t="s">
        <v>50</v>
      </c>
      <c r="D28" s="9" t="s">
        <v>44</v>
      </c>
      <c r="E28" s="9" t="s">
        <v>164</v>
      </c>
      <c r="F28" s="9" t="s">
        <v>165</v>
      </c>
      <c r="G28" s="9" t="s">
        <v>166</v>
      </c>
      <c r="H28" s="9" t="s">
        <v>167</v>
      </c>
      <c r="I28" s="7" t="s">
        <v>41</v>
      </c>
      <c r="J28" s="9" t="s">
        <v>158</v>
      </c>
      <c r="K28" s="9" t="s">
        <v>159</v>
      </c>
      <c r="L28" s="9" t="s">
        <v>44</v>
      </c>
      <c r="M28" s="8"/>
      <c r="N28" s="8"/>
    </row>
    <row r="29" customFormat="false" ht="57.45" hidden="false" customHeight="false" outlineLevel="0" collapsed="false">
      <c r="A29" s="6" t="s">
        <v>34</v>
      </c>
      <c r="B29" s="6" t="s">
        <v>153</v>
      </c>
      <c r="C29" s="6" t="s">
        <v>55</v>
      </c>
      <c r="D29" s="6"/>
      <c r="E29" s="6" t="s">
        <v>168</v>
      </c>
      <c r="F29" s="6" t="s">
        <v>169</v>
      </c>
      <c r="G29" s="6" t="s">
        <v>170</v>
      </c>
      <c r="H29" s="6" t="s">
        <v>171</v>
      </c>
      <c r="I29" s="7" t="s">
        <v>41</v>
      </c>
      <c r="J29" s="6" t="s">
        <v>158</v>
      </c>
      <c r="K29" s="6" t="s">
        <v>159</v>
      </c>
      <c r="L29" s="6" t="s">
        <v>44</v>
      </c>
      <c r="M29" s="8"/>
      <c r="N29" s="8"/>
    </row>
    <row r="30" customFormat="false" ht="57.45" hidden="false" customHeight="false" outlineLevel="0" collapsed="false">
      <c r="A30" s="9" t="s">
        <v>34</v>
      </c>
      <c r="B30" s="9" t="s">
        <v>153</v>
      </c>
      <c r="C30" s="9" t="s">
        <v>45</v>
      </c>
      <c r="D30" s="9" t="s">
        <v>44</v>
      </c>
      <c r="E30" s="9" t="s">
        <v>172</v>
      </c>
      <c r="F30" s="9" t="s">
        <v>173</v>
      </c>
      <c r="G30" s="9" t="s">
        <v>174</v>
      </c>
      <c r="H30" s="9" t="s">
        <v>175</v>
      </c>
      <c r="I30" s="7" t="s">
        <v>41</v>
      </c>
      <c r="J30" s="9" t="s">
        <v>158</v>
      </c>
      <c r="K30" s="9" t="s">
        <v>159</v>
      </c>
      <c r="L30" s="9" t="s">
        <v>44</v>
      </c>
      <c r="M30" s="8"/>
      <c r="N30" s="8"/>
    </row>
    <row r="31" customFormat="false" ht="79.85" hidden="false" customHeight="false" outlineLevel="0" collapsed="false">
      <c r="A31" s="6" t="s">
        <v>34</v>
      </c>
      <c r="B31" s="6" t="s">
        <v>153</v>
      </c>
      <c r="C31" s="6" t="s">
        <v>55</v>
      </c>
      <c r="D31" s="6"/>
      <c r="E31" s="6" t="s">
        <v>176</v>
      </c>
      <c r="F31" s="6" t="s">
        <v>177</v>
      </c>
      <c r="G31" s="6" t="s">
        <v>178</v>
      </c>
      <c r="H31" s="6" t="s">
        <v>179</v>
      </c>
      <c r="I31" s="7" t="s">
        <v>41</v>
      </c>
      <c r="J31" s="6" t="s">
        <v>158</v>
      </c>
      <c r="K31" s="6" t="s">
        <v>159</v>
      </c>
      <c r="L31" s="6"/>
      <c r="M31" s="8"/>
      <c r="N31" s="8"/>
    </row>
    <row r="32" customFormat="false" ht="57.45" hidden="false" customHeight="false" outlineLevel="0" collapsed="false">
      <c r="A32" s="6" t="s">
        <v>34</v>
      </c>
      <c r="B32" s="6" t="s">
        <v>180</v>
      </c>
      <c r="C32" s="6" t="s">
        <v>36</v>
      </c>
      <c r="D32" s="6"/>
      <c r="E32" s="6" t="s">
        <v>181</v>
      </c>
      <c r="F32" s="6" t="s">
        <v>182</v>
      </c>
      <c r="G32" s="6" t="s">
        <v>183</v>
      </c>
      <c r="H32" s="6" t="s">
        <v>184</v>
      </c>
      <c r="I32" s="7" t="s">
        <v>41</v>
      </c>
      <c r="J32" s="6" t="s">
        <v>185</v>
      </c>
      <c r="K32" s="6" t="s">
        <v>186</v>
      </c>
      <c r="L32" s="6"/>
      <c r="M32" s="8"/>
      <c r="N32" s="8"/>
    </row>
    <row r="33" customFormat="false" ht="57.45" hidden="false" customHeight="false" outlineLevel="0" collapsed="false">
      <c r="A33" s="9" t="s">
        <v>34</v>
      </c>
      <c r="B33" s="9" t="s">
        <v>180</v>
      </c>
      <c r="C33" s="9" t="s">
        <v>45</v>
      </c>
      <c r="D33" s="9" t="s">
        <v>44</v>
      </c>
      <c r="E33" s="9" t="s">
        <v>187</v>
      </c>
      <c r="F33" s="9" t="s">
        <v>188</v>
      </c>
      <c r="G33" s="9" t="s">
        <v>189</v>
      </c>
      <c r="H33" s="9" t="s">
        <v>190</v>
      </c>
      <c r="I33" s="7" t="s">
        <v>41</v>
      </c>
      <c r="J33" s="9" t="s">
        <v>185</v>
      </c>
      <c r="K33" s="9" t="s">
        <v>186</v>
      </c>
      <c r="L33" s="9"/>
      <c r="M33" s="8"/>
      <c r="N33" s="8"/>
    </row>
    <row r="34" customFormat="false" ht="46.25" hidden="false" customHeight="false" outlineLevel="0" collapsed="false">
      <c r="A34" s="9" t="s">
        <v>34</v>
      </c>
      <c r="B34" s="9" t="s">
        <v>180</v>
      </c>
      <c r="C34" s="9" t="s">
        <v>50</v>
      </c>
      <c r="D34" s="9" t="s">
        <v>44</v>
      </c>
      <c r="E34" s="9" t="s">
        <v>191</v>
      </c>
      <c r="F34" s="9" t="s">
        <v>192</v>
      </c>
      <c r="G34" s="9" t="s">
        <v>193</v>
      </c>
      <c r="H34" s="9" t="s">
        <v>194</v>
      </c>
      <c r="I34" s="7" t="s">
        <v>41</v>
      </c>
      <c r="J34" s="9" t="s">
        <v>185</v>
      </c>
      <c r="K34" s="9" t="s">
        <v>186</v>
      </c>
      <c r="L34" s="9"/>
      <c r="M34" s="8"/>
      <c r="N34" s="8"/>
    </row>
    <row r="35" customFormat="false" ht="57.45" hidden="false" customHeight="false" outlineLevel="0" collapsed="false">
      <c r="A35" s="6" t="s">
        <v>34</v>
      </c>
      <c r="B35" s="6" t="s">
        <v>180</v>
      </c>
      <c r="C35" s="6" t="s">
        <v>55</v>
      </c>
      <c r="D35" s="6"/>
      <c r="E35" s="6" t="s">
        <v>195</v>
      </c>
      <c r="F35" s="6" t="s">
        <v>196</v>
      </c>
      <c r="G35" s="6" t="s">
        <v>197</v>
      </c>
      <c r="H35" s="6" t="s">
        <v>198</v>
      </c>
      <c r="I35" s="7" t="s">
        <v>41</v>
      </c>
      <c r="J35" s="6" t="s">
        <v>185</v>
      </c>
      <c r="K35" s="6" t="s">
        <v>186</v>
      </c>
      <c r="L35" s="6" t="s">
        <v>44</v>
      </c>
      <c r="M35" s="8"/>
      <c r="N35" s="8"/>
    </row>
    <row r="36" customFormat="false" ht="124.6" hidden="false" customHeight="false" outlineLevel="0" collapsed="false">
      <c r="A36" s="6" t="s">
        <v>34</v>
      </c>
      <c r="B36" s="6" t="s">
        <v>199</v>
      </c>
      <c r="C36" s="6" t="s">
        <v>36</v>
      </c>
      <c r="D36" s="6"/>
      <c r="E36" s="6" t="s">
        <v>199</v>
      </c>
      <c r="F36" s="6" t="s">
        <v>200</v>
      </c>
      <c r="G36" s="6" t="s">
        <v>201</v>
      </c>
      <c r="H36" s="6" t="s">
        <v>202</v>
      </c>
      <c r="I36" s="7" t="s">
        <v>41</v>
      </c>
      <c r="J36" s="6" t="s">
        <v>203</v>
      </c>
      <c r="K36" s="6" t="s">
        <v>204</v>
      </c>
      <c r="L36" s="6"/>
      <c r="M36" s="8"/>
      <c r="N36" s="8"/>
    </row>
    <row r="37" customFormat="false" ht="68.65" hidden="false" customHeight="false" outlineLevel="0" collapsed="false">
      <c r="A37" s="9" t="s">
        <v>34</v>
      </c>
      <c r="B37" s="9" t="s">
        <v>199</v>
      </c>
      <c r="C37" s="9" t="s">
        <v>45</v>
      </c>
      <c r="D37" s="9" t="s">
        <v>44</v>
      </c>
      <c r="E37" s="9" t="s">
        <v>205</v>
      </c>
      <c r="F37" s="9" t="s">
        <v>206</v>
      </c>
      <c r="G37" s="9" t="s">
        <v>207</v>
      </c>
      <c r="H37" s="9" t="s">
        <v>208</v>
      </c>
      <c r="I37" s="7" t="s">
        <v>41</v>
      </c>
      <c r="J37" s="9" t="s">
        <v>203</v>
      </c>
      <c r="K37" s="9" t="s">
        <v>204</v>
      </c>
      <c r="L37" s="9"/>
      <c r="M37" s="8"/>
      <c r="N37" s="8"/>
    </row>
    <row r="38" customFormat="false" ht="68.65" hidden="false" customHeight="false" outlineLevel="0" collapsed="false">
      <c r="A38" s="9" t="s">
        <v>34</v>
      </c>
      <c r="B38" s="9" t="s">
        <v>199</v>
      </c>
      <c r="C38" s="9" t="s">
        <v>50</v>
      </c>
      <c r="D38" s="9" t="s">
        <v>44</v>
      </c>
      <c r="E38" s="9" t="s">
        <v>209</v>
      </c>
      <c r="F38" s="9" t="s">
        <v>210</v>
      </c>
      <c r="G38" s="9" t="s">
        <v>211</v>
      </c>
      <c r="H38" s="9" t="s">
        <v>212</v>
      </c>
      <c r="I38" s="7" t="s">
        <v>41</v>
      </c>
      <c r="J38" s="9" t="s">
        <v>203</v>
      </c>
      <c r="K38" s="9" t="s">
        <v>204</v>
      </c>
      <c r="L38" s="9"/>
      <c r="M38" s="8"/>
      <c r="N38" s="8"/>
    </row>
    <row r="39" customFormat="false" ht="79.85" hidden="false" customHeight="false" outlineLevel="0" collapsed="false">
      <c r="A39" s="6" t="s">
        <v>34</v>
      </c>
      <c r="B39" s="6" t="s">
        <v>199</v>
      </c>
      <c r="C39" s="6" t="s">
        <v>55</v>
      </c>
      <c r="D39" s="6"/>
      <c r="E39" s="6" t="s">
        <v>213</v>
      </c>
      <c r="F39" s="6" t="s">
        <v>214</v>
      </c>
      <c r="G39" s="6" t="s">
        <v>215</v>
      </c>
      <c r="H39" s="6" t="s">
        <v>216</v>
      </c>
      <c r="I39" s="7" t="s">
        <v>41</v>
      </c>
      <c r="J39" s="6" t="s">
        <v>203</v>
      </c>
      <c r="K39" s="6" t="s">
        <v>204</v>
      </c>
      <c r="L39" s="6" t="s">
        <v>44</v>
      </c>
      <c r="M39" s="8"/>
      <c r="N39" s="8"/>
    </row>
    <row r="40" customFormat="false" ht="68.65" hidden="false" customHeight="false" outlineLevel="0" collapsed="false">
      <c r="A40" s="9" t="s">
        <v>34</v>
      </c>
      <c r="B40" s="9" t="s">
        <v>217</v>
      </c>
      <c r="C40" s="9" t="s">
        <v>45</v>
      </c>
      <c r="D40" s="9" t="s">
        <v>44</v>
      </c>
      <c r="E40" s="9" t="s">
        <v>218</v>
      </c>
      <c r="F40" s="9" t="s">
        <v>219</v>
      </c>
      <c r="G40" s="9" t="s">
        <v>220</v>
      </c>
      <c r="H40" s="9" t="s">
        <v>221</v>
      </c>
      <c r="I40" s="10" t="s">
        <v>102</v>
      </c>
      <c r="J40" s="9" t="s">
        <v>222</v>
      </c>
      <c r="K40" s="9" t="s">
        <v>223</v>
      </c>
      <c r="L40" s="9"/>
      <c r="M40" s="8"/>
      <c r="N40" s="8"/>
    </row>
    <row r="41" customFormat="false" ht="79.85" hidden="false" customHeight="false" outlineLevel="0" collapsed="false">
      <c r="A41" s="9" t="s">
        <v>34</v>
      </c>
      <c r="B41" s="9" t="s">
        <v>217</v>
      </c>
      <c r="C41" s="9" t="s">
        <v>50</v>
      </c>
      <c r="D41" s="9" t="s">
        <v>44</v>
      </c>
      <c r="E41" s="9" t="s">
        <v>217</v>
      </c>
      <c r="F41" s="9" t="s">
        <v>224</v>
      </c>
      <c r="G41" s="9" t="s">
        <v>225</v>
      </c>
      <c r="H41" s="9" t="s">
        <v>226</v>
      </c>
      <c r="I41" s="10" t="s">
        <v>102</v>
      </c>
      <c r="J41" s="9" t="s">
        <v>222</v>
      </c>
      <c r="K41" s="9" t="s">
        <v>223</v>
      </c>
      <c r="L41" s="9"/>
      <c r="M41" s="8"/>
      <c r="N41" s="8"/>
    </row>
    <row r="42" customFormat="false" ht="46.25" hidden="false" customHeight="false" outlineLevel="0" collapsed="false">
      <c r="A42" s="6" t="s">
        <v>34</v>
      </c>
      <c r="B42" s="6" t="s">
        <v>217</v>
      </c>
      <c r="C42" s="6" t="s">
        <v>55</v>
      </c>
      <c r="D42" s="6"/>
      <c r="E42" s="6" t="s">
        <v>227</v>
      </c>
      <c r="F42" s="6" t="s">
        <v>228</v>
      </c>
      <c r="G42" s="6" t="s">
        <v>229</v>
      </c>
      <c r="H42" s="6" t="s">
        <v>230</v>
      </c>
      <c r="I42" s="10" t="s">
        <v>102</v>
      </c>
      <c r="J42" s="6" t="s">
        <v>222</v>
      </c>
      <c r="K42" s="6" t="s">
        <v>223</v>
      </c>
      <c r="L42" s="6"/>
      <c r="M42" s="8"/>
      <c r="N42" s="8"/>
    </row>
    <row r="43" customFormat="false" ht="57.45" hidden="false" customHeight="false" outlineLevel="0" collapsed="false">
      <c r="A43" s="6" t="s">
        <v>34</v>
      </c>
      <c r="B43" s="6" t="s">
        <v>231</v>
      </c>
      <c r="C43" s="6" t="s">
        <v>36</v>
      </c>
      <c r="D43" s="6"/>
      <c r="E43" s="6" t="s">
        <v>232</v>
      </c>
      <c r="F43" s="6" t="s">
        <v>233</v>
      </c>
      <c r="G43" s="6" t="s">
        <v>234</v>
      </c>
      <c r="H43" s="6" t="s">
        <v>235</v>
      </c>
      <c r="I43" s="7" t="s">
        <v>41</v>
      </c>
      <c r="J43" s="6" t="s">
        <v>236</v>
      </c>
      <c r="K43" s="6" t="s">
        <v>237</v>
      </c>
      <c r="L43" s="6"/>
      <c r="M43" s="8"/>
      <c r="N43" s="8"/>
    </row>
    <row r="44" customFormat="false" ht="46.25" hidden="false" customHeight="false" outlineLevel="0" collapsed="false">
      <c r="A44" s="9" t="s">
        <v>34</v>
      </c>
      <c r="B44" s="9" t="s">
        <v>231</v>
      </c>
      <c r="C44" s="9" t="s">
        <v>45</v>
      </c>
      <c r="D44" s="9" t="s">
        <v>44</v>
      </c>
      <c r="E44" s="9" t="s">
        <v>238</v>
      </c>
      <c r="F44" s="9" t="s">
        <v>239</v>
      </c>
      <c r="G44" s="9" t="s">
        <v>240</v>
      </c>
      <c r="H44" s="9" t="s">
        <v>241</v>
      </c>
      <c r="I44" s="7" t="s">
        <v>41</v>
      </c>
      <c r="J44" s="9" t="s">
        <v>236</v>
      </c>
      <c r="K44" s="9" t="s">
        <v>237</v>
      </c>
      <c r="L44" s="9"/>
      <c r="M44" s="8"/>
      <c r="N44" s="8"/>
    </row>
    <row r="45" customFormat="false" ht="46.25" hidden="false" customHeight="false" outlineLevel="0" collapsed="false">
      <c r="A45" s="9" t="s">
        <v>34</v>
      </c>
      <c r="B45" s="9" t="s">
        <v>231</v>
      </c>
      <c r="C45" s="9" t="s">
        <v>50</v>
      </c>
      <c r="D45" s="9" t="s">
        <v>44</v>
      </c>
      <c r="E45" s="9" t="s">
        <v>242</v>
      </c>
      <c r="F45" s="9" t="s">
        <v>243</v>
      </c>
      <c r="G45" s="9" t="s">
        <v>244</v>
      </c>
      <c r="H45" s="9" t="s">
        <v>245</v>
      </c>
      <c r="I45" s="7" t="s">
        <v>41</v>
      </c>
      <c r="J45" s="9" t="s">
        <v>236</v>
      </c>
      <c r="K45" s="9" t="s">
        <v>237</v>
      </c>
      <c r="L45" s="9"/>
      <c r="M45" s="8"/>
      <c r="N45" s="8"/>
    </row>
    <row r="46" customFormat="false" ht="57.45" hidden="false" customHeight="false" outlineLevel="0" collapsed="false">
      <c r="A46" s="6" t="s">
        <v>34</v>
      </c>
      <c r="B46" s="6" t="s">
        <v>231</v>
      </c>
      <c r="C46" s="6" t="s">
        <v>55</v>
      </c>
      <c r="D46" s="6"/>
      <c r="E46" s="6" t="s">
        <v>246</v>
      </c>
      <c r="F46" s="6" t="s">
        <v>247</v>
      </c>
      <c r="G46" s="6" t="s">
        <v>248</v>
      </c>
      <c r="H46" s="6" t="s">
        <v>249</v>
      </c>
      <c r="I46" s="7" t="s">
        <v>41</v>
      </c>
      <c r="J46" s="6" t="s">
        <v>236</v>
      </c>
      <c r="K46" s="6" t="s">
        <v>237</v>
      </c>
      <c r="L46" s="6"/>
      <c r="M46" s="8"/>
      <c r="N46" s="8"/>
    </row>
    <row r="47" customFormat="false" ht="57.45" hidden="false" customHeight="false" outlineLevel="0" collapsed="false">
      <c r="A47" s="6" t="s">
        <v>34</v>
      </c>
      <c r="B47" s="6" t="s">
        <v>250</v>
      </c>
      <c r="C47" s="6" t="s">
        <v>36</v>
      </c>
      <c r="D47" s="6"/>
      <c r="E47" s="6" t="s">
        <v>251</v>
      </c>
      <c r="F47" s="6" t="s">
        <v>252</v>
      </c>
      <c r="G47" s="6" t="s">
        <v>253</v>
      </c>
      <c r="H47" s="6" t="s">
        <v>254</v>
      </c>
      <c r="I47" s="10" t="s">
        <v>102</v>
      </c>
      <c r="J47" s="6" t="s">
        <v>255</v>
      </c>
      <c r="K47" s="6" t="s">
        <v>256</v>
      </c>
      <c r="L47" s="6" t="s">
        <v>44</v>
      </c>
      <c r="M47" s="8"/>
      <c r="N47" s="8"/>
    </row>
    <row r="48" customFormat="false" ht="79.85" hidden="false" customHeight="false" outlineLevel="0" collapsed="false">
      <c r="A48" s="9" t="s">
        <v>34</v>
      </c>
      <c r="B48" s="9" t="s">
        <v>250</v>
      </c>
      <c r="C48" s="9" t="s">
        <v>45</v>
      </c>
      <c r="D48" s="9" t="s">
        <v>44</v>
      </c>
      <c r="E48" s="9" t="s">
        <v>250</v>
      </c>
      <c r="F48" s="9" t="s">
        <v>257</v>
      </c>
      <c r="G48" s="9" t="s">
        <v>258</v>
      </c>
      <c r="H48" s="9" t="s">
        <v>259</v>
      </c>
      <c r="I48" s="10" t="s">
        <v>102</v>
      </c>
      <c r="J48" s="9" t="s">
        <v>255</v>
      </c>
      <c r="K48" s="9" t="s">
        <v>256</v>
      </c>
      <c r="L48" s="9"/>
      <c r="M48" s="8"/>
      <c r="N48" s="8"/>
    </row>
    <row r="49" customFormat="false" ht="46.25" hidden="false" customHeight="false" outlineLevel="0" collapsed="false">
      <c r="A49" s="9" t="s">
        <v>34</v>
      </c>
      <c r="B49" s="9" t="s">
        <v>250</v>
      </c>
      <c r="C49" s="9" t="s">
        <v>50</v>
      </c>
      <c r="D49" s="9" t="s">
        <v>44</v>
      </c>
      <c r="E49" s="9" t="s">
        <v>260</v>
      </c>
      <c r="F49" s="9" t="s">
        <v>261</v>
      </c>
      <c r="G49" s="9" t="s">
        <v>262</v>
      </c>
      <c r="H49" s="9" t="s">
        <v>263</v>
      </c>
      <c r="I49" s="10" t="s">
        <v>102</v>
      </c>
      <c r="J49" s="9" t="s">
        <v>255</v>
      </c>
      <c r="K49" s="9" t="s">
        <v>256</v>
      </c>
      <c r="L49" s="9"/>
      <c r="M49" s="8"/>
      <c r="N49" s="8"/>
    </row>
    <row r="50" customFormat="false" ht="46.25" hidden="false" customHeight="false" outlineLevel="0" collapsed="false">
      <c r="A50" s="6" t="s">
        <v>34</v>
      </c>
      <c r="B50" s="6" t="s">
        <v>250</v>
      </c>
      <c r="C50" s="6" t="s">
        <v>55</v>
      </c>
      <c r="D50" s="6"/>
      <c r="E50" s="6" t="s">
        <v>264</v>
      </c>
      <c r="F50" s="6" t="s">
        <v>265</v>
      </c>
      <c r="G50" s="6" t="s">
        <v>266</v>
      </c>
      <c r="H50" s="6" t="s">
        <v>267</v>
      </c>
      <c r="I50" s="10" t="s">
        <v>102</v>
      </c>
      <c r="J50" s="6" t="s">
        <v>255</v>
      </c>
      <c r="K50" s="6" t="s">
        <v>256</v>
      </c>
      <c r="L50" s="6"/>
      <c r="M50" s="8"/>
      <c r="N50" s="8"/>
    </row>
    <row r="51" customFormat="false" ht="35.05" hidden="false" customHeight="false" outlineLevel="0" collapsed="false">
      <c r="A51" s="6" t="s">
        <v>34</v>
      </c>
      <c r="B51" s="6" t="s">
        <v>250</v>
      </c>
      <c r="C51" s="6" t="s">
        <v>55</v>
      </c>
      <c r="D51" s="6"/>
      <c r="E51" s="6" t="s">
        <v>268</v>
      </c>
      <c r="F51" s="6" t="s">
        <v>269</v>
      </c>
      <c r="G51" s="6" t="s">
        <v>270</v>
      </c>
      <c r="H51" s="6" t="s">
        <v>271</v>
      </c>
      <c r="I51" s="10" t="s">
        <v>102</v>
      </c>
      <c r="J51" s="6" t="s">
        <v>255</v>
      </c>
      <c r="K51" s="6" t="s">
        <v>256</v>
      </c>
      <c r="L51" s="6" t="s">
        <v>44</v>
      </c>
      <c r="M51" s="8"/>
      <c r="N51" s="8"/>
    </row>
    <row r="52" customFormat="false" ht="35.05" hidden="false" customHeight="false" outlineLevel="0" collapsed="false">
      <c r="A52" s="9" t="s">
        <v>34</v>
      </c>
      <c r="B52" s="9" t="s">
        <v>250</v>
      </c>
      <c r="C52" s="9" t="s">
        <v>50</v>
      </c>
      <c r="D52" s="9" t="s">
        <v>44</v>
      </c>
      <c r="E52" s="9" t="s">
        <v>272</v>
      </c>
      <c r="F52" s="9" t="s">
        <v>106</v>
      </c>
      <c r="G52" s="9" t="s">
        <v>273</v>
      </c>
      <c r="H52" s="9" t="s">
        <v>271</v>
      </c>
      <c r="I52" s="10" t="s">
        <v>102</v>
      </c>
      <c r="J52" s="9" t="s">
        <v>255</v>
      </c>
      <c r="K52" s="9" t="s">
        <v>256</v>
      </c>
      <c r="L52" s="9" t="s">
        <v>44</v>
      </c>
      <c r="M52" s="8"/>
      <c r="N52" s="8"/>
    </row>
    <row r="53" customFormat="false" ht="68.65" hidden="false" customHeight="false" outlineLevel="0" collapsed="false">
      <c r="A53" s="9" t="s">
        <v>34</v>
      </c>
      <c r="B53" s="9" t="s">
        <v>128</v>
      </c>
      <c r="C53" s="9" t="s">
        <v>50</v>
      </c>
      <c r="D53" s="9" t="s">
        <v>44</v>
      </c>
      <c r="E53" s="9" t="s">
        <v>274</v>
      </c>
      <c r="F53" s="9" t="s">
        <v>275</v>
      </c>
      <c r="G53" s="9" t="s">
        <v>276</v>
      </c>
      <c r="H53" s="9" t="s">
        <v>277</v>
      </c>
      <c r="I53" s="10" t="s">
        <v>102</v>
      </c>
      <c r="J53" s="9" t="s">
        <v>278</v>
      </c>
      <c r="K53" s="9" t="s">
        <v>279</v>
      </c>
      <c r="L53" s="9"/>
      <c r="M53" s="8"/>
      <c r="N53" s="8"/>
    </row>
    <row r="54" customFormat="false" ht="35.05" hidden="false" customHeight="false" outlineLevel="0" collapsed="false">
      <c r="A54" s="6" t="s">
        <v>34</v>
      </c>
      <c r="B54" s="6" t="s">
        <v>128</v>
      </c>
      <c r="C54" s="6" t="s">
        <v>55</v>
      </c>
      <c r="D54" s="6"/>
      <c r="E54" s="6" t="s">
        <v>280</v>
      </c>
      <c r="F54" s="6" t="s">
        <v>281</v>
      </c>
      <c r="G54" s="6" t="s">
        <v>282</v>
      </c>
      <c r="H54" s="6" t="s">
        <v>283</v>
      </c>
      <c r="I54" s="10" t="s">
        <v>102</v>
      </c>
      <c r="J54" s="6" t="s">
        <v>278</v>
      </c>
      <c r="K54" s="6" t="s">
        <v>279</v>
      </c>
      <c r="L54" s="6"/>
      <c r="M54" s="8"/>
      <c r="N54" s="8"/>
    </row>
    <row r="55" customFormat="false" ht="79.85" hidden="false" customHeight="false" outlineLevel="0" collapsed="false">
      <c r="A55" s="6" t="s">
        <v>34</v>
      </c>
      <c r="B55" s="6" t="s">
        <v>284</v>
      </c>
      <c r="C55" s="6" t="s">
        <v>36</v>
      </c>
      <c r="D55" s="6"/>
      <c r="E55" s="6" t="s">
        <v>285</v>
      </c>
      <c r="F55" s="6" t="s">
        <v>286</v>
      </c>
      <c r="G55" s="6" t="s">
        <v>287</v>
      </c>
      <c r="H55" s="6" t="s">
        <v>288</v>
      </c>
      <c r="I55" s="7" t="s">
        <v>41</v>
      </c>
      <c r="J55" s="6" t="s">
        <v>289</v>
      </c>
      <c r="K55" s="6" t="s">
        <v>290</v>
      </c>
      <c r="L55" s="6"/>
      <c r="M55" s="8"/>
      <c r="N55" s="8"/>
    </row>
    <row r="56" customFormat="false" ht="79.85" hidden="false" customHeight="false" outlineLevel="0" collapsed="false">
      <c r="A56" s="9" t="s">
        <v>34</v>
      </c>
      <c r="B56" s="9" t="s">
        <v>284</v>
      </c>
      <c r="C56" s="9" t="s">
        <v>45</v>
      </c>
      <c r="D56" s="9" t="s">
        <v>44</v>
      </c>
      <c r="E56" s="9" t="s">
        <v>291</v>
      </c>
      <c r="F56" s="9" t="s">
        <v>292</v>
      </c>
      <c r="G56" s="9" t="s">
        <v>293</v>
      </c>
      <c r="H56" s="9" t="s">
        <v>294</v>
      </c>
      <c r="I56" s="7" t="s">
        <v>41</v>
      </c>
      <c r="J56" s="9" t="s">
        <v>289</v>
      </c>
      <c r="K56" s="9" t="s">
        <v>290</v>
      </c>
      <c r="L56" s="9"/>
      <c r="M56" s="8"/>
      <c r="N56" s="8"/>
    </row>
    <row r="57" customFormat="false" ht="79.85" hidden="false" customHeight="false" outlineLevel="0" collapsed="false">
      <c r="A57" s="9" t="s">
        <v>34</v>
      </c>
      <c r="B57" s="9" t="s">
        <v>284</v>
      </c>
      <c r="C57" s="9" t="s">
        <v>50</v>
      </c>
      <c r="D57" s="9" t="s">
        <v>44</v>
      </c>
      <c r="E57" s="9" t="s">
        <v>295</v>
      </c>
      <c r="F57" s="9" t="s">
        <v>296</v>
      </c>
      <c r="G57" s="9" t="s">
        <v>297</v>
      </c>
      <c r="H57" s="9" t="s">
        <v>298</v>
      </c>
      <c r="I57" s="7" t="s">
        <v>41</v>
      </c>
      <c r="J57" s="9" t="s">
        <v>289</v>
      </c>
      <c r="K57" s="9" t="s">
        <v>290</v>
      </c>
      <c r="L57" s="9"/>
      <c r="M57" s="8"/>
      <c r="N57" s="8"/>
    </row>
    <row r="58" customFormat="false" ht="79.85" hidden="false" customHeight="false" outlineLevel="0" collapsed="false">
      <c r="A58" s="6" t="s">
        <v>34</v>
      </c>
      <c r="B58" s="6" t="s">
        <v>284</v>
      </c>
      <c r="C58" s="6" t="s">
        <v>55</v>
      </c>
      <c r="D58" s="6"/>
      <c r="E58" s="6" t="s">
        <v>299</v>
      </c>
      <c r="F58" s="6" t="s">
        <v>300</v>
      </c>
      <c r="G58" s="6" t="s">
        <v>273</v>
      </c>
      <c r="H58" s="6" t="s">
        <v>271</v>
      </c>
      <c r="I58" s="7" t="s">
        <v>41</v>
      </c>
      <c r="J58" s="6" t="s">
        <v>289</v>
      </c>
      <c r="K58" s="6" t="s">
        <v>290</v>
      </c>
      <c r="L58" s="6" t="s">
        <v>44</v>
      </c>
      <c r="M58" s="8"/>
      <c r="N58" s="8"/>
    </row>
    <row r="59" customFormat="false" ht="79.85" hidden="false" customHeight="false" outlineLevel="0" collapsed="false">
      <c r="A59" s="9" t="s">
        <v>34</v>
      </c>
      <c r="B59" s="9" t="s">
        <v>284</v>
      </c>
      <c r="C59" s="9" t="s">
        <v>45</v>
      </c>
      <c r="D59" s="9" t="s">
        <v>44</v>
      </c>
      <c r="E59" s="9" t="s">
        <v>301</v>
      </c>
      <c r="F59" s="9" t="s">
        <v>302</v>
      </c>
      <c r="G59" s="9" t="s">
        <v>303</v>
      </c>
      <c r="H59" s="9" t="s">
        <v>304</v>
      </c>
      <c r="I59" s="7" t="s">
        <v>41</v>
      </c>
      <c r="J59" s="9" t="s">
        <v>289</v>
      </c>
      <c r="K59" s="9" t="s">
        <v>290</v>
      </c>
      <c r="L59" s="9"/>
      <c r="M59" s="8"/>
      <c r="N59" s="8"/>
    </row>
    <row r="60" customFormat="false" ht="35.05" hidden="false" customHeight="false" outlineLevel="0" collapsed="false">
      <c r="A60" s="6" t="s">
        <v>34</v>
      </c>
      <c r="B60" s="6" t="s">
        <v>305</v>
      </c>
      <c r="C60" s="6" t="s">
        <v>36</v>
      </c>
      <c r="D60" s="6"/>
      <c r="E60" s="6" t="s">
        <v>305</v>
      </c>
      <c r="F60" s="6" t="s">
        <v>306</v>
      </c>
      <c r="G60" s="6" t="s">
        <v>273</v>
      </c>
      <c r="H60" s="6" t="s">
        <v>307</v>
      </c>
      <c r="I60" s="10" t="s">
        <v>102</v>
      </c>
      <c r="J60" s="6" t="s">
        <v>308</v>
      </c>
      <c r="K60" s="6" t="s">
        <v>309</v>
      </c>
      <c r="L60" s="6" t="s">
        <v>44</v>
      </c>
      <c r="M60" s="8"/>
      <c r="N60" s="8"/>
    </row>
    <row r="61" customFormat="false" ht="35.05" hidden="false" customHeight="false" outlineLevel="0" collapsed="false">
      <c r="A61" s="9" t="s">
        <v>34</v>
      </c>
      <c r="B61" s="9" t="s">
        <v>305</v>
      </c>
      <c r="C61" s="9" t="s">
        <v>45</v>
      </c>
      <c r="D61" s="9" t="s">
        <v>44</v>
      </c>
      <c r="E61" s="9" t="s">
        <v>310</v>
      </c>
      <c r="F61" s="9" t="s">
        <v>311</v>
      </c>
      <c r="G61" s="9" t="s">
        <v>273</v>
      </c>
      <c r="H61" s="9" t="s">
        <v>307</v>
      </c>
      <c r="I61" s="10" t="s">
        <v>102</v>
      </c>
      <c r="J61" s="9" t="s">
        <v>308</v>
      </c>
      <c r="K61" s="9" t="s">
        <v>309</v>
      </c>
      <c r="L61" s="9" t="s">
        <v>44</v>
      </c>
      <c r="M61" s="8"/>
      <c r="N61" s="8"/>
    </row>
    <row r="62" customFormat="false" ht="79.85" hidden="false" customHeight="false" outlineLevel="0" collapsed="false">
      <c r="A62" s="6" t="s">
        <v>34</v>
      </c>
      <c r="B62" s="6" t="s">
        <v>312</v>
      </c>
      <c r="C62" s="6" t="s">
        <v>36</v>
      </c>
      <c r="D62" s="6"/>
      <c r="E62" s="6" t="s">
        <v>312</v>
      </c>
      <c r="F62" s="6" t="s">
        <v>313</v>
      </c>
      <c r="G62" s="6" t="s">
        <v>314</v>
      </c>
      <c r="H62" s="6" t="s">
        <v>315</v>
      </c>
      <c r="I62" s="11" t="s">
        <v>316</v>
      </c>
      <c r="J62" s="6" t="s">
        <v>317</v>
      </c>
      <c r="K62" s="6" t="s">
        <v>318</v>
      </c>
      <c r="L62" s="6"/>
      <c r="M62" s="8"/>
      <c r="N62" s="8"/>
    </row>
    <row r="63" customFormat="false" ht="57.45" hidden="false" customHeight="false" outlineLevel="0" collapsed="false">
      <c r="A63" s="6" t="s">
        <v>34</v>
      </c>
      <c r="B63" s="6" t="s">
        <v>319</v>
      </c>
      <c r="C63" s="6" t="s">
        <v>36</v>
      </c>
      <c r="D63" s="6"/>
      <c r="E63" s="6" t="s">
        <v>319</v>
      </c>
      <c r="F63" s="6" t="s">
        <v>320</v>
      </c>
      <c r="G63" s="6" t="s">
        <v>321</v>
      </c>
      <c r="H63" s="6" t="s">
        <v>322</v>
      </c>
      <c r="I63" s="11" t="s">
        <v>316</v>
      </c>
      <c r="J63" s="6" t="s">
        <v>323</v>
      </c>
      <c r="K63" s="6" t="s">
        <v>324</v>
      </c>
      <c r="L63" s="6"/>
      <c r="M63" s="8"/>
      <c r="N63" s="8"/>
    </row>
    <row r="64" customFormat="false" ht="57.45" hidden="false" customHeight="false" outlineLevel="0" collapsed="false">
      <c r="A64" s="9" t="s">
        <v>34</v>
      </c>
      <c r="B64" s="9" t="s">
        <v>319</v>
      </c>
      <c r="C64" s="9" t="s">
        <v>45</v>
      </c>
      <c r="D64" s="9" t="s">
        <v>44</v>
      </c>
      <c r="E64" s="9" t="s">
        <v>325</v>
      </c>
      <c r="F64" s="9" t="s">
        <v>326</v>
      </c>
      <c r="G64" s="9" t="s">
        <v>327</v>
      </c>
      <c r="H64" s="9" t="s">
        <v>328</v>
      </c>
      <c r="I64" s="11" t="s">
        <v>316</v>
      </c>
      <c r="J64" s="9" t="s">
        <v>323</v>
      </c>
      <c r="K64" s="9" t="s">
        <v>324</v>
      </c>
      <c r="L64" s="9"/>
      <c r="M64" s="8"/>
      <c r="N64" s="8"/>
    </row>
    <row r="65" customFormat="false" ht="57.45" hidden="false" customHeight="false" outlineLevel="0" collapsed="false">
      <c r="A65" s="9" t="s">
        <v>34</v>
      </c>
      <c r="B65" s="9" t="s">
        <v>319</v>
      </c>
      <c r="C65" s="9" t="s">
        <v>50</v>
      </c>
      <c r="D65" s="9" t="s">
        <v>44</v>
      </c>
      <c r="E65" s="9" t="s">
        <v>329</v>
      </c>
      <c r="F65" s="9" t="s">
        <v>330</v>
      </c>
      <c r="G65" s="9" t="s">
        <v>273</v>
      </c>
      <c r="H65" s="9" t="s">
        <v>307</v>
      </c>
      <c r="I65" s="11" t="s">
        <v>316</v>
      </c>
      <c r="J65" s="9" t="s">
        <v>323</v>
      </c>
      <c r="K65" s="9" t="s">
        <v>324</v>
      </c>
      <c r="L65" s="9" t="s">
        <v>44</v>
      </c>
      <c r="M65" s="8"/>
      <c r="N65" s="8"/>
    </row>
    <row r="66" customFormat="false" ht="57.45" hidden="false" customHeight="false" outlineLevel="0" collapsed="false">
      <c r="A66" s="6" t="s">
        <v>34</v>
      </c>
      <c r="B66" s="6" t="s">
        <v>319</v>
      </c>
      <c r="C66" s="6" t="s">
        <v>55</v>
      </c>
      <c r="D66" s="6"/>
      <c r="E66" s="6" t="s">
        <v>331</v>
      </c>
      <c r="F66" s="6" t="s">
        <v>332</v>
      </c>
      <c r="G66" s="6" t="s">
        <v>273</v>
      </c>
      <c r="H66" s="6" t="s">
        <v>307</v>
      </c>
      <c r="I66" s="11" t="s">
        <v>316</v>
      </c>
      <c r="J66" s="6" t="s">
        <v>323</v>
      </c>
      <c r="K66" s="6" t="s">
        <v>324</v>
      </c>
      <c r="L66" s="6" t="s">
        <v>44</v>
      </c>
      <c r="M66" s="8"/>
      <c r="N66" s="8"/>
    </row>
    <row r="67" customFormat="false" ht="57.45" hidden="false" customHeight="false" outlineLevel="0" collapsed="false">
      <c r="A67" s="9" t="s">
        <v>34</v>
      </c>
      <c r="B67" s="9" t="s">
        <v>319</v>
      </c>
      <c r="C67" s="9" t="s">
        <v>45</v>
      </c>
      <c r="D67" s="9" t="s">
        <v>44</v>
      </c>
      <c r="E67" s="9" t="s">
        <v>333</v>
      </c>
      <c r="F67" s="9" t="s">
        <v>334</v>
      </c>
      <c r="G67" s="9" t="s">
        <v>335</v>
      </c>
      <c r="H67" s="9" t="s">
        <v>336</v>
      </c>
      <c r="I67" s="11" t="s">
        <v>316</v>
      </c>
      <c r="J67" s="9" t="s">
        <v>323</v>
      </c>
      <c r="K67" s="9" t="s">
        <v>324</v>
      </c>
      <c r="L67" s="9"/>
      <c r="M67" s="8"/>
      <c r="N67" s="8"/>
    </row>
    <row r="68" customFormat="false" ht="57.45" hidden="false" customHeight="false" outlineLevel="0" collapsed="false">
      <c r="A68" s="9" t="s">
        <v>34</v>
      </c>
      <c r="B68" s="9" t="s">
        <v>337</v>
      </c>
      <c r="C68" s="9" t="s">
        <v>45</v>
      </c>
      <c r="D68" s="9" t="s">
        <v>44</v>
      </c>
      <c r="E68" s="9" t="s">
        <v>338</v>
      </c>
      <c r="F68" s="9" t="s">
        <v>339</v>
      </c>
      <c r="G68" s="9" t="s">
        <v>340</v>
      </c>
      <c r="H68" s="9" t="s">
        <v>341</v>
      </c>
      <c r="I68" s="7" t="s">
        <v>41</v>
      </c>
      <c r="J68" s="9" t="s">
        <v>342</v>
      </c>
      <c r="K68" s="9" t="s">
        <v>343</v>
      </c>
      <c r="L68" s="9"/>
      <c r="M68" s="8"/>
      <c r="N68" s="8"/>
    </row>
    <row r="69" customFormat="false" ht="68.65" hidden="false" customHeight="false" outlineLevel="0" collapsed="false">
      <c r="A69" s="9" t="s">
        <v>34</v>
      </c>
      <c r="B69" s="9" t="s">
        <v>337</v>
      </c>
      <c r="C69" s="9" t="s">
        <v>50</v>
      </c>
      <c r="D69" s="9" t="s">
        <v>44</v>
      </c>
      <c r="E69" s="9" t="s">
        <v>344</v>
      </c>
      <c r="F69" s="9" t="s">
        <v>345</v>
      </c>
      <c r="G69" s="9" t="s">
        <v>346</v>
      </c>
      <c r="H69" s="9" t="s">
        <v>347</v>
      </c>
      <c r="I69" s="7" t="s">
        <v>41</v>
      </c>
      <c r="J69" s="9" t="s">
        <v>342</v>
      </c>
      <c r="K69" s="9" t="s">
        <v>343</v>
      </c>
      <c r="L69" s="9"/>
      <c r="M69" s="8"/>
      <c r="N69" s="8"/>
    </row>
    <row r="70" customFormat="false" ht="79.85" hidden="false" customHeight="false" outlineLevel="0" collapsed="false">
      <c r="A70" s="6" t="s">
        <v>34</v>
      </c>
      <c r="B70" s="6" t="s">
        <v>337</v>
      </c>
      <c r="C70" s="6" t="s">
        <v>55</v>
      </c>
      <c r="D70" s="6"/>
      <c r="E70" s="6" t="s">
        <v>348</v>
      </c>
      <c r="F70" s="6" t="s">
        <v>349</v>
      </c>
      <c r="G70" s="6" t="s">
        <v>350</v>
      </c>
      <c r="H70" s="6" t="s">
        <v>351</v>
      </c>
      <c r="I70" s="7" t="s">
        <v>41</v>
      </c>
      <c r="J70" s="6" t="s">
        <v>342</v>
      </c>
      <c r="K70" s="6" t="s">
        <v>343</v>
      </c>
      <c r="L70" s="6"/>
      <c r="M70" s="8"/>
      <c r="N70" s="8"/>
    </row>
    <row r="71" customFormat="false" ht="68.65" hidden="false" customHeight="false" outlineLevel="0" collapsed="false">
      <c r="A71" s="6" t="s">
        <v>34</v>
      </c>
      <c r="B71" s="6" t="s">
        <v>352</v>
      </c>
      <c r="C71" s="6" t="s">
        <v>36</v>
      </c>
      <c r="D71" s="6"/>
      <c r="E71" s="6" t="s">
        <v>352</v>
      </c>
      <c r="F71" s="6" t="s">
        <v>353</v>
      </c>
      <c r="G71" s="6" t="s">
        <v>354</v>
      </c>
      <c r="H71" s="6" t="s">
        <v>355</v>
      </c>
      <c r="I71" s="11" t="s">
        <v>316</v>
      </c>
      <c r="J71" s="6" t="s">
        <v>356</v>
      </c>
      <c r="K71" s="6" t="s">
        <v>357</v>
      </c>
      <c r="L71" s="6"/>
      <c r="M71" s="8"/>
      <c r="N71" s="8"/>
    </row>
    <row r="72" customFormat="false" ht="102.2" hidden="false" customHeight="false" outlineLevel="0" collapsed="false">
      <c r="A72" s="6" t="s">
        <v>34</v>
      </c>
      <c r="B72" s="6" t="s">
        <v>358</v>
      </c>
      <c r="C72" s="6" t="s">
        <v>36</v>
      </c>
      <c r="D72" s="6"/>
      <c r="E72" s="6" t="s">
        <v>359</v>
      </c>
      <c r="F72" s="6" t="s">
        <v>360</v>
      </c>
      <c r="G72" s="6" t="s">
        <v>361</v>
      </c>
      <c r="H72" s="6" t="s">
        <v>362</v>
      </c>
      <c r="I72" s="7" t="s">
        <v>41</v>
      </c>
      <c r="J72" s="6" t="s">
        <v>363</v>
      </c>
      <c r="K72" s="6" t="s">
        <v>364</v>
      </c>
      <c r="L72" s="6" t="s">
        <v>44</v>
      </c>
      <c r="M72" s="8"/>
      <c r="N72" s="8"/>
    </row>
    <row r="73" customFormat="false" ht="102.2" hidden="false" customHeight="false" outlineLevel="0" collapsed="false">
      <c r="A73" s="9" t="s">
        <v>34</v>
      </c>
      <c r="B73" s="9" t="s">
        <v>358</v>
      </c>
      <c r="C73" s="9" t="s">
        <v>45</v>
      </c>
      <c r="D73" s="9" t="s">
        <v>44</v>
      </c>
      <c r="E73" s="9" t="s">
        <v>365</v>
      </c>
      <c r="F73" s="9" t="s">
        <v>366</v>
      </c>
      <c r="G73" s="9" t="s">
        <v>367</v>
      </c>
      <c r="H73" s="9" t="s">
        <v>368</v>
      </c>
      <c r="I73" s="7" t="s">
        <v>41</v>
      </c>
      <c r="J73" s="9" t="s">
        <v>363</v>
      </c>
      <c r="K73" s="9" t="s">
        <v>364</v>
      </c>
      <c r="L73" s="9" t="s">
        <v>44</v>
      </c>
      <c r="M73" s="8"/>
      <c r="N73" s="8"/>
    </row>
    <row r="74" customFormat="false" ht="102.2" hidden="false" customHeight="false" outlineLevel="0" collapsed="false">
      <c r="A74" s="9" t="s">
        <v>34</v>
      </c>
      <c r="B74" s="9" t="s">
        <v>358</v>
      </c>
      <c r="C74" s="9" t="s">
        <v>50</v>
      </c>
      <c r="D74" s="9" t="s">
        <v>44</v>
      </c>
      <c r="E74" s="9" t="s">
        <v>369</v>
      </c>
      <c r="F74" s="9" t="s">
        <v>370</v>
      </c>
      <c r="G74" s="9" t="s">
        <v>371</v>
      </c>
      <c r="H74" s="9" t="s">
        <v>372</v>
      </c>
      <c r="I74" s="7" t="s">
        <v>41</v>
      </c>
      <c r="J74" s="9" t="s">
        <v>363</v>
      </c>
      <c r="K74" s="9" t="s">
        <v>364</v>
      </c>
      <c r="L74" s="9" t="s">
        <v>44</v>
      </c>
      <c r="M74" s="8"/>
      <c r="N74" s="8"/>
    </row>
    <row r="75" customFormat="false" ht="102.2" hidden="false" customHeight="false" outlineLevel="0" collapsed="false">
      <c r="A75" s="6" t="s">
        <v>34</v>
      </c>
      <c r="B75" s="6" t="s">
        <v>358</v>
      </c>
      <c r="C75" s="6" t="s">
        <v>55</v>
      </c>
      <c r="D75" s="6"/>
      <c r="E75" s="6" t="s">
        <v>373</v>
      </c>
      <c r="F75" s="6" t="s">
        <v>374</v>
      </c>
      <c r="G75" s="6" t="s">
        <v>375</v>
      </c>
      <c r="H75" s="6" t="s">
        <v>376</v>
      </c>
      <c r="I75" s="7" t="s">
        <v>41</v>
      </c>
      <c r="J75" s="6" t="s">
        <v>363</v>
      </c>
      <c r="K75" s="6" t="s">
        <v>364</v>
      </c>
      <c r="L75" s="6" t="s">
        <v>44</v>
      </c>
      <c r="M75" s="8"/>
      <c r="N75" s="8"/>
    </row>
    <row r="76" customFormat="false" ht="91" hidden="false" customHeight="false" outlineLevel="0" collapsed="false">
      <c r="A76" s="6" t="s">
        <v>34</v>
      </c>
      <c r="B76" s="6" t="s">
        <v>377</v>
      </c>
      <c r="C76" s="6" t="s">
        <v>36</v>
      </c>
      <c r="D76" s="6"/>
      <c r="E76" s="6" t="s">
        <v>377</v>
      </c>
      <c r="F76" s="6" t="s">
        <v>378</v>
      </c>
      <c r="G76" s="6" t="s">
        <v>379</v>
      </c>
      <c r="H76" s="6" t="s">
        <v>380</v>
      </c>
      <c r="I76" s="7" t="s">
        <v>41</v>
      </c>
      <c r="J76" s="6" t="s">
        <v>381</v>
      </c>
      <c r="K76" s="6" t="s">
        <v>382</v>
      </c>
      <c r="L76" s="6" t="s">
        <v>44</v>
      </c>
      <c r="M76" s="8"/>
      <c r="N76" s="8"/>
    </row>
    <row r="77" customFormat="false" ht="57.45" hidden="false" customHeight="false" outlineLevel="0" collapsed="false">
      <c r="A77" s="9" t="s">
        <v>34</v>
      </c>
      <c r="B77" s="9" t="s">
        <v>377</v>
      </c>
      <c r="C77" s="9" t="s">
        <v>45</v>
      </c>
      <c r="D77" s="9" t="s">
        <v>44</v>
      </c>
      <c r="E77" s="9" t="s">
        <v>383</v>
      </c>
      <c r="F77" s="9" t="s">
        <v>384</v>
      </c>
      <c r="G77" s="9" t="s">
        <v>385</v>
      </c>
      <c r="H77" s="9" t="s">
        <v>386</v>
      </c>
      <c r="I77" s="7" t="s">
        <v>41</v>
      </c>
      <c r="J77" s="9" t="s">
        <v>381</v>
      </c>
      <c r="K77" s="9" t="s">
        <v>382</v>
      </c>
      <c r="L77" s="9" t="s">
        <v>44</v>
      </c>
      <c r="M77" s="8"/>
      <c r="N77" s="8"/>
    </row>
    <row r="78" customFormat="false" ht="57.45" hidden="false" customHeight="false" outlineLevel="0" collapsed="false">
      <c r="A78" s="9" t="s">
        <v>34</v>
      </c>
      <c r="B78" s="9" t="s">
        <v>377</v>
      </c>
      <c r="C78" s="9" t="s">
        <v>50</v>
      </c>
      <c r="D78" s="9" t="s">
        <v>44</v>
      </c>
      <c r="E78" s="9" t="s">
        <v>387</v>
      </c>
      <c r="F78" s="9" t="s">
        <v>388</v>
      </c>
      <c r="G78" s="9" t="s">
        <v>389</v>
      </c>
      <c r="H78" s="9" t="s">
        <v>390</v>
      </c>
      <c r="I78" s="7" t="s">
        <v>41</v>
      </c>
      <c r="J78" s="9" t="s">
        <v>381</v>
      </c>
      <c r="K78" s="9" t="s">
        <v>382</v>
      </c>
      <c r="L78" s="9" t="s">
        <v>44</v>
      </c>
      <c r="M78" s="8"/>
      <c r="N78" s="8"/>
    </row>
    <row r="79" customFormat="false" ht="57.45" hidden="false" customHeight="false" outlineLevel="0" collapsed="false">
      <c r="A79" s="6" t="s">
        <v>34</v>
      </c>
      <c r="B79" s="6" t="s">
        <v>377</v>
      </c>
      <c r="C79" s="6" t="s">
        <v>55</v>
      </c>
      <c r="D79" s="6"/>
      <c r="E79" s="6" t="s">
        <v>391</v>
      </c>
      <c r="F79" s="6" t="s">
        <v>392</v>
      </c>
      <c r="G79" s="6" t="s">
        <v>393</v>
      </c>
      <c r="H79" s="6" t="s">
        <v>394</v>
      </c>
      <c r="I79" s="7" t="s">
        <v>41</v>
      </c>
      <c r="J79" s="6" t="s">
        <v>381</v>
      </c>
      <c r="K79" s="6" t="s">
        <v>382</v>
      </c>
      <c r="L79" s="6" t="s">
        <v>44</v>
      </c>
      <c r="M79" s="8"/>
      <c r="N79" s="8"/>
    </row>
    <row r="80" customFormat="false" ht="57.45" hidden="false" customHeight="false" outlineLevel="0" collapsed="false">
      <c r="A80" s="9" t="s">
        <v>34</v>
      </c>
      <c r="B80" s="9" t="s">
        <v>377</v>
      </c>
      <c r="C80" s="9" t="s">
        <v>45</v>
      </c>
      <c r="D80" s="9" t="s">
        <v>44</v>
      </c>
      <c r="E80" s="9" t="s">
        <v>395</v>
      </c>
      <c r="F80" s="9" t="s">
        <v>396</v>
      </c>
      <c r="G80" s="9" t="s">
        <v>397</v>
      </c>
      <c r="H80" s="9" t="s">
        <v>398</v>
      </c>
      <c r="I80" s="7" t="s">
        <v>41</v>
      </c>
      <c r="J80" s="9" t="s">
        <v>381</v>
      </c>
      <c r="K80" s="9" t="s">
        <v>382</v>
      </c>
      <c r="L80" s="9" t="s">
        <v>44</v>
      </c>
      <c r="M80" s="8"/>
      <c r="N80" s="8"/>
    </row>
    <row r="81" customFormat="false" ht="57.45" hidden="false" customHeight="false" outlineLevel="0" collapsed="false">
      <c r="A81" s="9" t="s">
        <v>34</v>
      </c>
      <c r="B81" s="9" t="s">
        <v>377</v>
      </c>
      <c r="C81" s="9" t="s">
        <v>50</v>
      </c>
      <c r="D81" s="9" t="s">
        <v>44</v>
      </c>
      <c r="E81" s="9" t="s">
        <v>399</v>
      </c>
      <c r="F81" s="9" t="s">
        <v>400</v>
      </c>
      <c r="G81" s="9" t="s">
        <v>401</v>
      </c>
      <c r="H81" s="9" t="s">
        <v>402</v>
      </c>
      <c r="I81" s="7" t="s">
        <v>41</v>
      </c>
      <c r="J81" s="9" t="s">
        <v>381</v>
      </c>
      <c r="K81" s="9" t="s">
        <v>382</v>
      </c>
      <c r="L81" s="9"/>
      <c r="M81" s="8"/>
      <c r="N81" s="8"/>
    </row>
    <row r="82" customFormat="false" ht="57.45" hidden="false" customHeight="false" outlineLevel="0" collapsed="false">
      <c r="A82" s="9" t="s">
        <v>34</v>
      </c>
      <c r="B82" s="9" t="s">
        <v>377</v>
      </c>
      <c r="C82" s="9" t="s">
        <v>45</v>
      </c>
      <c r="D82" s="9" t="s">
        <v>44</v>
      </c>
      <c r="E82" s="9" t="s">
        <v>403</v>
      </c>
      <c r="F82" s="9" t="s">
        <v>404</v>
      </c>
      <c r="G82" s="9" t="s">
        <v>405</v>
      </c>
      <c r="H82" s="9" t="s">
        <v>406</v>
      </c>
      <c r="I82" s="7" t="s">
        <v>41</v>
      </c>
      <c r="J82" s="9" t="s">
        <v>381</v>
      </c>
      <c r="K82" s="9" t="s">
        <v>382</v>
      </c>
      <c r="L82" s="9"/>
      <c r="M82" s="8"/>
      <c r="N82" s="8"/>
    </row>
    <row r="83" customFormat="false" ht="57.45" hidden="false" customHeight="false" outlineLevel="0" collapsed="false">
      <c r="A83" s="9" t="s">
        <v>34</v>
      </c>
      <c r="B83" s="9" t="s">
        <v>377</v>
      </c>
      <c r="C83" s="9" t="s">
        <v>50</v>
      </c>
      <c r="D83" s="9" t="s">
        <v>44</v>
      </c>
      <c r="E83" s="9" t="s">
        <v>407</v>
      </c>
      <c r="F83" s="9" t="s">
        <v>408</v>
      </c>
      <c r="G83" s="9" t="s">
        <v>409</v>
      </c>
      <c r="H83" s="9" t="s">
        <v>410</v>
      </c>
      <c r="I83" s="7" t="s">
        <v>41</v>
      </c>
      <c r="J83" s="9" t="s">
        <v>381</v>
      </c>
      <c r="K83" s="9" t="s">
        <v>382</v>
      </c>
      <c r="L83" s="9" t="s">
        <v>44</v>
      </c>
      <c r="M83" s="8"/>
      <c r="N83" s="8"/>
    </row>
    <row r="84" customFormat="false" ht="57.45" hidden="false" customHeight="false" outlineLevel="0" collapsed="false">
      <c r="A84" s="6" t="s">
        <v>34</v>
      </c>
      <c r="B84" s="6" t="s">
        <v>411</v>
      </c>
      <c r="C84" s="6" t="s">
        <v>36</v>
      </c>
      <c r="D84" s="6"/>
      <c r="E84" s="6" t="s">
        <v>412</v>
      </c>
      <c r="F84" s="6" t="s">
        <v>413</v>
      </c>
      <c r="G84" s="6" t="s">
        <v>414</v>
      </c>
      <c r="H84" s="6" t="s">
        <v>415</v>
      </c>
      <c r="I84" s="7" t="s">
        <v>41</v>
      </c>
      <c r="J84" s="6" t="s">
        <v>416</v>
      </c>
      <c r="K84" s="6" t="s">
        <v>417</v>
      </c>
      <c r="L84" s="6" t="s">
        <v>44</v>
      </c>
      <c r="M84" s="8"/>
      <c r="N84" s="8"/>
    </row>
    <row r="85" customFormat="false" ht="57.45" hidden="false" customHeight="false" outlineLevel="0" collapsed="false">
      <c r="A85" s="9" t="s">
        <v>34</v>
      </c>
      <c r="B85" s="9" t="s">
        <v>411</v>
      </c>
      <c r="C85" s="9" t="s">
        <v>45</v>
      </c>
      <c r="D85" s="9" t="s">
        <v>44</v>
      </c>
      <c r="E85" s="9" t="s">
        <v>418</v>
      </c>
      <c r="F85" s="9" t="s">
        <v>419</v>
      </c>
      <c r="G85" s="9" t="s">
        <v>420</v>
      </c>
      <c r="H85" s="9" t="s">
        <v>421</v>
      </c>
      <c r="I85" s="7" t="s">
        <v>41</v>
      </c>
      <c r="J85" s="9" t="s">
        <v>416</v>
      </c>
      <c r="K85" s="9" t="s">
        <v>417</v>
      </c>
      <c r="L85" s="9" t="s">
        <v>44</v>
      </c>
      <c r="M85" s="8"/>
      <c r="N85" s="8"/>
    </row>
    <row r="86" customFormat="false" ht="68.65" hidden="false" customHeight="false" outlineLevel="0" collapsed="false">
      <c r="A86" s="9" t="s">
        <v>34</v>
      </c>
      <c r="B86" s="9" t="s">
        <v>411</v>
      </c>
      <c r="C86" s="9" t="s">
        <v>50</v>
      </c>
      <c r="D86" s="9" t="s">
        <v>44</v>
      </c>
      <c r="E86" s="9" t="s">
        <v>422</v>
      </c>
      <c r="F86" s="9" t="s">
        <v>423</v>
      </c>
      <c r="G86" s="9" t="s">
        <v>424</v>
      </c>
      <c r="H86" s="9" t="s">
        <v>425</v>
      </c>
      <c r="I86" s="7" t="s">
        <v>41</v>
      </c>
      <c r="J86" s="9" t="s">
        <v>416</v>
      </c>
      <c r="K86" s="9" t="s">
        <v>417</v>
      </c>
      <c r="L86" s="9"/>
      <c r="M86" s="8"/>
      <c r="N86" s="8"/>
    </row>
    <row r="87" customFormat="false" ht="57.45" hidden="false" customHeight="false" outlineLevel="0" collapsed="false">
      <c r="A87" s="6" t="s">
        <v>34</v>
      </c>
      <c r="B87" s="6" t="s">
        <v>411</v>
      </c>
      <c r="C87" s="6" t="s">
        <v>55</v>
      </c>
      <c r="D87" s="6"/>
      <c r="E87" s="6" t="s">
        <v>426</v>
      </c>
      <c r="F87" s="6" t="s">
        <v>427</v>
      </c>
      <c r="G87" s="6" t="s">
        <v>428</v>
      </c>
      <c r="H87" s="6" t="s">
        <v>429</v>
      </c>
      <c r="I87" s="7" t="s">
        <v>41</v>
      </c>
      <c r="J87" s="6" t="s">
        <v>416</v>
      </c>
      <c r="K87" s="6" t="s">
        <v>417</v>
      </c>
      <c r="L87" s="6" t="s">
        <v>44</v>
      </c>
      <c r="M87" s="8"/>
      <c r="N87" s="8"/>
    </row>
    <row r="88" customFormat="false" ht="91" hidden="false" customHeight="false" outlineLevel="0" collapsed="false">
      <c r="A88" s="9" t="s">
        <v>34</v>
      </c>
      <c r="B88" s="9" t="s">
        <v>430</v>
      </c>
      <c r="C88" s="9" t="s">
        <v>50</v>
      </c>
      <c r="D88" s="9" t="s">
        <v>44</v>
      </c>
      <c r="E88" s="9" t="s">
        <v>431</v>
      </c>
      <c r="F88" s="9" t="s">
        <v>432</v>
      </c>
      <c r="G88" s="9" t="s">
        <v>433</v>
      </c>
      <c r="H88" s="9" t="s">
        <v>434</v>
      </c>
      <c r="I88" s="10" t="s">
        <v>102</v>
      </c>
      <c r="J88" s="9" t="s">
        <v>435</v>
      </c>
      <c r="K88" s="9" t="s">
        <v>436</v>
      </c>
      <c r="L88" s="9"/>
      <c r="M88" s="8"/>
      <c r="N88" s="8"/>
    </row>
    <row r="89" customFormat="false" ht="68.65" hidden="false" customHeight="false" outlineLevel="0" collapsed="false">
      <c r="A89" s="6" t="s">
        <v>34</v>
      </c>
      <c r="B89" s="6" t="s">
        <v>430</v>
      </c>
      <c r="C89" s="6" t="s">
        <v>55</v>
      </c>
      <c r="D89" s="6"/>
      <c r="E89" s="6" t="s">
        <v>437</v>
      </c>
      <c r="F89" s="6" t="s">
        <v>438</v>
      </c>
      <c r="G89" s="6" t="s">
        <v>439</v>
      </c>
      <c r="H89" s="6" t="s">
        <v>440</v>
      </c>
      <c r="I89" s="10" t="s">
        <v>102</v>
      </c>
      <c r="J89" s="6" t="s">
        <v>435</v>
      </c>
      <c r="K89" s="6" t="s">
        <v>436</v>
      </c>
      <c r="L89" s="6"/>
      <c r="M89" s="8"/>
      <c r="N89" s="8"/>
    </row>
    <row r="90" customFormat="false" ht="79.85" hidden="false" customHeight="false" outlineLevel="0" collapsed="false">
      <c r="A90" s="6" t="s">
        <v>34</v>
      </c>
      <c r="B90" s="6" t="s">
        <v>430</v>
      </c>
      <c r="C90" s="6" t="s">
        <v>55</v>
      </c>
      <c r="D90" s="6"/>
      <c r="E90" s="6" t="s">
        <v>441</v>
      </c>
      <c r="F90" s="6" t="s">
        <v>442</v>
      </c>
      <c r="G90" s="6" t="s">
        <v>443</v>
      </c>
      <c r="H90" s="6" t="s">
        <v>444</v>
      </c>
      <c r="I90" s="10" t="s">
        <v>102</v>
      </c>
      <c r="J90" s="6" t="s">
        <v>435</v>
      </c>
      <c r="K90" s="6" t="s">
        <v>436</v>
      </c>
      <c r="L90" s="6"/>
      <c r="M90" s="8"/>
      <c r="N90" s="8"/>
    </row>
    <row r="91" customFormat="false" ht="68.65" hidden="false" customHeight="false" outlineLevel="0" collapsed="false">
      <c r="A91" s="9" t="s">
        <v>34</v>
      </c>
      <c r="B91" s="9" t="s">
        <v>445</v>
      </c>
      <c r="C91" s="9" t="s">
        <v>50</v>
      </c>
      <c r="D91" s="9" t="s">
        <v>44</v>
      </c>
      <c r="E91" s="9" t="s">
        <v>446</v>
      </c>
      <c r="F91" s="9" t="s">
        <v>447</v>
      </c>
      <c r="G91" s="9" t="s">
        <v>448</v>
      </c>
      <c r="H91" s="9" t="s">
        <v>449</v>
      </c>
      <c r="I91" s="10" t="s">
        <v>102</v>
      </c>
      <c r="J91" s="9" t="s">
        <v>450</v>
      </c>
      <c r="K91" s="9" t="s">
        <v>451</v>
      </c>
      <c r="L91" s="9"/>
      <c r="M91" s="8"/>
      <c r="N91" s="8"/>
    </row>
    <row r="92" customFormat="false" ht="79.85" hidden="false" customHeight="false" outlineLevel="0" collapsed="false">
      <c r="A92" s="6" t="s">
        <v>34</v>
      </c>
      <c r="B92" s="6" t="s">
        <v>445</v>
      </c>
      <c r="C92" s="6" t="s">
        <v>55</v>
      </c>
      <c r="D92" s="6"/>
      <c r="E92" s="6" t="s">
        <v>452</v>
      </c>
      <c r="F92" s="6" t="s">
        <v>453</v>
      </c>
      <c r="G92" s="6" t="s">
        <v>454</v>
      </c>
      <c r="H92" s="6" t="s">
        <v>455</v>
      </c>
      <c r="I92" s="10" t="s">
        <v>102</v>
      </c>
      <c r="J92" s="6" t="s">
        <v>450</v>
      </c>
      <c r="K92" s="6" t="s">
        <v>451</v>
      </c>
      <c r="L92" s="6"/>
      <c r="M92" s="8"/>
      <c r="N92" s="8"/>
    </row>
    <row r="93" customFormat="false" ht="79.85" hidden="false" customHeight="false" outlineLevel="0" collapsed="false">
      <c r="A93" s="9" t="s">
        <v>34</v>
      </c>
      <c r="B93" s="9" t="s">
        <v>456</v>
      </c>
      <c r="C93" s="9" t="s">
        <v>45</v>
      </c>
      <c r="D93" s="9" t="s">
        <v>44</v>
      </c>
      <c r="E93" s="9" t="s">
        <v>457</v>
      </c>
      <c r="F93" s="9" t="s">
        <v>458</v>
      </c>
      <c r="G93" s="9" t="s">
        <v>459</v>
      </c>
      <c r="H93" s="9" t="s">
        <v>460</v>
      </c>
      <c r="I93" s="10" t="s">
        <v>102</v>
      </c>
      <c r="J93" s="9" t="s">
        <v>461</v>
      </c>
      <c r="K93" s="9" t="s">
        <v>462</v>
      </c>
      <c r="L93" s="9"/>
      <c r="M93" s="8"/>
      <c r="N93" s="8"/>
    </row>
    <row r="94" customFormat="false" ht="79.85" hidden="false" customHeight="false" outlineLevel="0" collapsed="false">
      <c r="A94" s="9" t="s">
        <v>34</v>
      </c>
      <c r="B94" s="9" t="s">
        <v>456</v>
      </c>
      <c r="C94" s="9" t="s">
        <v>50</v>
      </c>
      <c r="D94" s="9" t="s">
        <v>44</v>
      </c>
      <c r="E94" s="9" t="s">
        <v>463</v>
      </c>
      <c r="F94" s="9" t="s">
        <v>464</v>
      </c>
      <c r="G94" s="9" t="s">
        <v>465</v>
      </c>
      <c r="H94" s="9" t="s">
        <v>466</v>
      </c>
      <c r="I94" s="10" t="s">
        <v>102</v>
      </c>
      <c r="J94" s="9" t="s">
        <v>461</v>
      </c>
      <c r="K94" s="9" t="s">
        <v>462</v>
      </c>
      <c r="L94" s="9"/>
      <c r="M94" s="8"/>
      <c r="N94" s="8"/>
    </row>
    <row r="95" customFormat="false" ht="79.85" hidden="false" customHeight="false" outlineLevel="0" collapsed="false">
      <c r="A95" s="6" t="s">
        <v>34</v>
      </c>
      <c r="B95" s="6" t="s">
        <v>456</v>
      </c>
      <c r="C95" s="6" t="s">
        <v>55</v>
      </c>
      <c r="D95" s="6"/>
      <c r="E95" s="6" t="s">
        <v>467</v>
      </c>
      <c r="F95" s="6" t="s">
        <v>468</v>
      </c>
      <c r="G95" s="6" t="s">
        <v>469</v>
      </c>
      <c r="H95" s="6" t="s">
        <v>470</v>
      </c>
      <c r="I95" s="10" t="s">
        <v>102</v>
      </c>
      <c r="J95" s="6" t="s">
        <v>461</v>
      </c>
      <c r="K95" s="6" t="s">
        <v>462</v>
      </c>
      <c r="L95" s="6"/>
      <c r="M95" s="8"/>
      <c r="N95" s="8"/>
    </row>
    <row r="96" customFormat="false" ht="79.85" hidden="false" customHeight="false" outlineLevel="0" collapsed="false">
      <c r="A96" s="9" t="s">
        <v>34</v>
      </c>
      <c r="B96" s="9" t="s">
        <v>456</v>
      </c>
      <c r="C96" s="9" t="s">
        <v>45</v>
      </c>
      <c r="D96" s="9" t="s">
        <v>44</v>
      </c>
      <c r="E96" s="9" t="s">
        <v>471</v>
      </c>
      <c r="F96" s="9" t="s">
        <v>472</v>
      </c>
      <c r="G96" s="9" t="s">
        <v>473</v>
      </c>
      <c r="H96" s="9" t="s">
        <v>474</v>
      </c>
      <c r="I96" s="10" t="s">
        <v>102</v>
      </c>
      <c r="J96" s="9" t="s">
        <v>461</v>
      </c>
      <c r="K96" s="9" t="s">
        <v>462</v>
      </c>
      <c r="L96" s="9"/>
      <c r="M96" s="8"/>
      <c r="N96" s="8"/>
    </row>
    <row r="97" customFormat="false" ht="79.85" hidden="false" customHeight="false" outlineLevel="0" collapsed="false">
      <c r="A97" s="9" t="s">
        <v>34</v>
      </c>
      <c r="B97" s="9" t="s">
        <v>456</v>
      </c>
      <c r="C97" s="9" t="s">
        <v>50</v>
      </c>
      <c r="D97" s="9" t="s">
        <v>44</v>
      </c>
      <c r="E97" s="9" t="s">
        <v>475</v>
      </c>
      <c r="F97" s="9" t="s">
        <v>476</v>
      </c>
      <c r="G97" s="9" t="s">
        <v>477</v>
      </c>
      <c r="H97" s="9" t="s">
        <v>478</v>
      </c>
      <c r="I97" s="10" t="s">
        <v>102</v>
      </c>
      <c r="J97" s="9" t="s">
        <v>461</v>
      </c>
      <c r="K97" s="9" t="s">
        <v>462</v>
      </c>
      <c r="L97" s="9"/>
      <c r="M97" s="8"/>
      <c r="N97" s="8"/>
    </row>
    <row r="98" customFormat="false" ht="79.85" hidden="false" customHeight="false" outlineLevel="0" collapsed="false">
      <c r="A98" s="6" t="s">
        <v>34</v>
      </c>
      <c r="B98" s="6" t="s">
        <v>456</v>
      </c>
      <c r="C98" s="6" t="s">
        <v>55</v>
      </c>
      <c r="D98" s="6"/>
      <c r="E98" s="6" t="s">
        <v>479</v>
      </c>
      <c r="F98" s="6" t="s">
        <v>480</v>
      </c>
      <c r="G98" s="6" t="s">
        <v>481</v>
      </c>
      <c r="H98" s="6" t="s">
        <v>482</v>
      </c>
      <c r="I98" s="10" t="s">
        <v>102</v>
      </c>
      <c r="J98" s="6" t="s">
        <v>461</v>
      </c>
      <c r="K98" s="6" t="s">
        <v>462</v>
      </c>
      <c r="L98" s="6" t="s">
        <v>44</v>
      </c>
      <c r="M98" s="8"/>
      <c r="N98" s="8"/>
    </row>
    <row r="99" customFormat="false" ht="68.65" hidden="false" customHeight="false" outlineLevel="0" collapsed="false">
      <c r="A99" s="9" t="s">
        <v>483</v>
      </c>
      <c r="B99" s="9" t="s">
        <v>483</v>
      </c>
      <c r="C99" s="9" t="s">
        <v>45</v>
      </c>
      <c r="D99" s="9" t="s">
        <v>44</v>
      </c>
      <c r="E99" s="9" t="s">
        <v>484</v>
      </c>
      <c r="F99" s="9" t="s">
        <v>485</v>
      </c>
      <c r="G99" s="9" t="s">
        <v>486</v>
      </c>
      <c r="H99" s="9" t="s">
        <v>487</v>
      </c>
      <c r="I99" s="10" t="s">
        <v>102</v>
      </c>
      <c r="J99" s="9" t="s">
        <v>488</v>
      </c>
      <c r="K99" s="9" t="s">
        <v>489</v>
      </c>
      <c r="L99" s="9"/>
      <c r="M99" s="8"/>
      <c r="N99" s="8"/>
    </row>
    <row r="100" customFormat="false" ht="68.65" hidden="false" customHeight="false" outlineLevel="0" collapsed="false">
      <c r="A100" s="9" t="s">
        <v>483</v>
      </c>
      <c r="B100" s="9" t="s">
        <v>483</v>
      </c>
      <c r="C100" s="9" t="s">
        <v>50</v>
      </c>
      <c r="D100" s="9" t="s">
        <v>44</v>
      </c>
      <c r="E100" s="9" t="s">
        <v>490</v>
      </c>
      <c r="F100" s="9" t="s">
        <v>491</v>
      </c>
      <c r="G100" s="9" t="s">
        <v>492</v>
      </c>
      <c r="H100" s="9" t="s">
        <v>493</v>
      </c>
      <c r="I100" s="10" t="s">
        <v>102</v>
      </c>
      <c r="J100" s="9" t="s">
        <v>488</v>
      </c>
      <c r="K100" s="9" t="s">
        <v>489</v>
      </c>
      <c r="L100" s="9"/>
      <c r="M100" s="8"/>
      <c r="N100" s="8"/>
    </row>
    <row r="101" customFormat="false" ht="68.65" hidden="false" customHeight="false" outlineLevel="0" collapsed="false">
      <c r="A101" s="6" t="s">
        <v>483</v>
      </c>
      <c r="B101" s="6" t="s">
        <v>483</v>
      </c>
      <c r="C101" s="6" t="s">
        <v>55</v>
      </c>
      <c r="D101" s="6"/>
      <c r="E101" s="6" t="s">
        <v>494</v>
      </c>
      <c r="F101" s="6" t="s">
        <v>495</v>
      </c>
      <c r="G101" s="6" t="s">
        <v>496</v>
      </c>
      <c r="H101" s="6" t="s">
        <v>497</v>
      </c>
      <c r="I101" s="10" t="s">
        <v>102</v>
      </c>
      <c r="J101" s="6" t="s">
        <v>488</v>
      </c>
      <c r="K101" s="6" t="s">
        <v>489</v>
      </c>
      <c r="L101" s="6"/>
      <c r="M101" s="8"/>
      <c r="N101" s="8"/>
    </row>
    <row r="102" customFormat="false" ht="68.65" hidden="false" customHeight="false" outlineLevel="0" collapsed="false">
      <c r="A102" s="9" t="s">
        <v>483</v>
      </c>
      <c r="B102" s="9" t="s">
        <v>483</v>
      </c>
      <c r="C102" s="9" t="s">
        <v>50</v>
      </c>
      <c r="D102" s="9" t="s">
        <v>44</v>
      </c>
      <c r="E102" s="9" t="s">
        <v>498</v>
      </c>
      <c r="F102" s="9" t="s">
        <v>499</v>
      </c>
      <c r="G102" s="9" t="s">
        <v>500</v>
      </c>
      <c r="H102" s="9" t="s">
        <v>501</v>
      </c>
      <c r="I102" s="10" t="s">
        <v>102</v>
      </c>
      <c r="J102" s="9" t="s">
        <v>488</v>
      </c>
      <c r="K102" s="9" t="s">
        <v>489</v>
      </c>
      <c r="L102" s="9"/>
      <c r="M102" s="8"/>
      <c r="N102" s="8"/>
    </row>
    <row r="103" customFormat="false" ht="68.65" hidden="false" customHeight="false" outlineLevel="0" collapsed="false">
      <c r="A103" s="6" t="s">
        <v>483</v>
      </c>
      <c r="B103" s="6" t="s">
        <v>483</v>
      </c>
      <c r="C103" s="6" t="s">
        <v>55</v>
      </c>
      <c r="D103" s="6"/>
      <c r="E103" s="6" t="s">
        <v>502</v>
      </c>
      <c r="F103" s="6" t="s">
        <v>503</v>
      </c>
      <c r="G103" s="6" t="s">
        <v>504</v>
      </c>
      <c r="H103" s="6" t="s">
        <v>505</v>
      </c>
      <c r="I103" s="10" t="s">
        <v>102</v>
      </c>
      <c r="J103" s="6" t="s">
        <v>488</v>
      </c>
      <c r="K103" s="6" t="s">
        <v>489</v>
      </c>
      <c r="L103" s="6"/>
      <c r="M103" s="8"/>
      <c r="N103" s="8"/>
    </row>
    <row r="104" customFormat="false" ht="68.65" hidden="false" customHeight="false" outlineLevel="0" collapsed="false">
      <c r="A104" s="6" t="s">
        <v>483</v>
      </c>
      <c r="B104" s="6" t="s">
        <v>483</v>
      </c>
      <c r="C104" s="6" t="s">
        <v>55</v>
      </c>
      <c r="D104" s="6"/>
      <c r="E104" s="6" t="s">
        <v>506</v>
      </c>
      <c r="F104" s="6" t="s">
        <v>507</v>
      </c>
      <c r="G104" s="6" t="s">
        <v>508</v>
      </c>
      <c r="H104" s="6" t="s">
        <v>509</v>
      </c>
      <c r="I104" s="10" t="s">
        <v>102</v>
      </c>
      <c r="J104" s="6" t="s">
        <v>488</v>
      </c>
      <c r="K104" s="6" t="s">
        <v>489</v>
      </c>
      <c r="L104" s="6"/>
      <c r="M104" s="8"/>
      <c r="N104" s="8"/>
    </row>
    <row r="105" customFormat="false" ht="68.65" hidden="false" customHeight="false" outlineLevel="0" collapsed="false">
      <c r="A105" s="6" t="s">
        <v>483</v>
      </c>
      <c r="B105" s="6" t="s">
        <v>483</v>
      </c>
      <c r="C105" s="6" t="s">
        <v>55</v>
      </c>
      <c r="D105" s="6"/>
      <c r="E105" s="6" t="s">
        <v>510</v>
      </c>
      <c r="F105" s="6" t="s">
        <v>511</v>
      </c>
      <c r="G105" s="6" t="s">
        <v>512</v>
      </c>
      <c r="H105" s="6" t="s">
        <v>513</v>
      </c>
      <c r="I105" s="10" t="s">
        <v>102</v>
      </c>
      <c r="J105" s="6" t="s">
        <v>488</v>
      </c>
      <c r="K105" s="6" t="s">
        <v>489</v>
      </c>
      <c r="L105" s="6"/>
      <c r="M105" s="8"/>
      <c r="N105" s="8"/>
    </row>
    <row r="106" customFormat="false" ht="79.85" hidden="false" customHeight="false" outlineLevel="0" collapsed="false">
      <c r="A106" s="6" t="s">
        <v>514</v>
      </c>
      <c r="B106" s="6" t="s">
        <v>514</v>
      </c>
      <c r="C106" s="6" t="s">
        <v>515</v>
      </c>
      <c r="D106" s="6"/>
      <c r="E106" s="6" t="s">
        <v>516</v>
      </c>
      <c r="F106" s="6" t="s">
        <v>517</v>
      </c>
      <c r="G106" s="6" t="s">
        <v>518</v>
      </c>
      <c r="H106" s="6" t="s">
        <v>519</v>
      </c>
      <c r="I106" s="7" t="s">
        <v>41</v>
      </c>
      <c r="J106" s="6" t="s">
        <v>520</v>
      </c>
      <c r="K106" s="6" t="s">
        <v>521</v>
      </c>
      <c r="L106" s="6"/>
      <c r="M106" s="8"/>
      <c r="N106" s="8"/>
    </row>
    <row r="107" customFormat="false" ht="79.85" hidden="false" customHeight="false" outlineLevel="0" collapsed="false">
      <c r="A107" s="6" t="s">
        <v>514</v>
      </c>
      <c r="B107" s="6" t="s">
        <v>514</v>
      </c>
      <c r="C107" s="6" t="s">
        <v>515</v>
      </c>
      <c r="D107" s="6"/>
      <c r="E107" s="6" t="s">
        <v>522</v>
      </c>
      <c r="F107" s="6" t="s">
        <v>523</v>
      </c>
      <c r="G107" s="6" t="s">
        <v>524</v>
      </c>
      <c r="H107" s="6" t="s">
        <v>525</v>
      </c>
      <c r="I107" s="7" t="s">
        <v>41</v>
      </c>
      <c r="J107" s="6" t="s">
        <v>520</v>
      </c>
      <c r="K107" s="6" t="s">
        <v>521</v>
      </c>
      <c r="L107" s="6"/>
      <c r="M107" s="8"/>
      <c r="N107" s="8"/>
    </row>
    <row r="108" customFormat="false" ht="113.4" hidden="false" customHeight="false" outlineLevel="0" collapsed="false">
      <c r="A108" s="6" t="s">
        <v>526</v>
      </c>
      <c r="B108" s="6" t="s">
        <v>527</v>
      </c>
      <c r="C108" s="6" t="s">
        <v>36</v>
      </c>
      <c r="D108" s="6"/>
      <c r="E108" s="6" t="s">
        <v>527</v>
      </c>
      <c r="F108" s="6" t="s">
        <v>528</v>
      </c>
      <c r="G108" s="6" t="s">
        <v>529</v>
      </c>
      <c r="H108" s="6" t="s">
        <v>530</v>
      </c>
      <c r="I108" s="10" t="s">
        <v>102</v>
      </c>
      <c r="J108" s="6" t="s">
        <v>531</v>
      </c>
      <c r="K108" s="6" t="s">
        <v>532</v>
      </c>
      <c r="L108" s="6"/>
      <c r="M108" s="8"/>
      <c r="N108" s="8"/>
    </row>
    <row r="109" customFormat="false" ht="57.45" hidden="false" customHeight="false" outlineLevel="0" collapsed="false">
      <c r="A109" s="9" t="s">
        <v>526</v>
      </c>
      <c r="B109" s="9" t="s">
        <v>527</v>
      </c>
      <c r="C109" s="9" t="s">
        <v>45</v>
      </c>
      <c r="D109" s="9" t="s">
        <v>44</v>
      </c>
      <c r="E109" s="9" t="s">
        <v>533</v>
      </c>
      <c r="F109" s="9" t="s">
        <v>534</v>
      </c>
      <c r="G109" s="9" t="s">
        <v>535</v>
      </c>
      <c r="H109" s="9" t="s">
        <v>536</v>
      </c>
      <c r="I109" s="10" t="s">
        <v>102</v>
      </c>
      <c r="J109" s="9" t="s">
        <v>531</v>
      </c>
      <c r="K109" s="9" t="s">
        <v>532</v>
      </c>
      <c r="L109" s="9" t="s">
        <v>44</v>
      </c>
      <c r="M109" s="8"/>
      <c r="N109" s="8"/>
    </row>
    <row r="110" customFormat="false" ht="57.45" hidden="false" customHeight="false" outlineLevel="0" collapsed="false">
      <c r="A110" s="9" t="s">
        <v>526</v>
      </c>
      <c r="B110" s="9" t="s">
        <v>527</v>
      </c>
      <c r="C110" s="9" t="s">
        <v>50</v>
      </c>
      <c r="D110" s="9" t="s">
        <v>44</v>
      </c>
      <c r="E110" s="9" t="s">
        <v>537</v>
      </c>
      <c r="F110" s="9" t="s">
        <v>538</v>
      </c>
      <c r="G110" s="9" t="s">
        <v>535</v>
      </c>
      <c r="H110" s="9" t="s">
        <v>536</v>
      </c>
      <c r="I110" s="10" t="s">
        <v>102</v>
      </c>
      <c r="J110" s="9" t="s">
        <v>531</v>
      </c>
      <c r="K110" s="9" t="s">
        <v>532</v>
      </c>
      <c r="L110" s="9" t="s">
        <v>44</v>
      </c>
      <c r="M110" s="8"/>
      <c r="N110" s="8"/>
    </row>
    <row r="111" customFormat="false" ht="79.85" hidden="false" customHeight="false" outlineLevel="0" collapsed="false">
      <c r="A111" s="6" t="s">
        <v>526</v>
      </c>
      <c r="B111" s="6" t="s">
        <v>539</v>
      </c>
      <c r="C111" s="6" t="s">
        <v>36</v>
      </c>
      <c r="D111" s="6"/>
      <c r="E111" s="6" t="s">
        <v>540</v>
      </c>
      <c r="F111" s="6" t="s">
        <v>541</v>
      </c>
      <c r="G111" s="6" t="s">
        <v>542</v>
      </c>
      <c r="H111" s="6" t="s">
        <v>543</v>
      </c>
      <c r="I111" s="11" t="s">
        <v>316</v>
      </c>
      <c r="J111" s="6" t="s">
        <v>544</v>
      </c>
      <c r="K111" s="6" t="s">
        <v>545</v>
      </c>
      <c r="L111" s="6"/>
      <c r="M111" s="8"/>
      <c r="N111" s="8"/>
    </row>
    <row r="112" customFormat="false" ht="79.85" hidden="false" customHeight="false" outlineLevel="0" collapsed="false">
      <c r="A112" s="9" t="s">
        <v>526</v>
      </c>
      <c r="B112" s="9" t="s">
        <v>539</v>
      </c>
      <c r="C112" s="9" t="s">
        <v>45</v>
      </c>
      <c r="D112" s="9" t="s">
        <v>44</v>
      </c>
      <c r="E112" s="9" t="s">
        <v>546</v>
      </c>
      <c r="F112" s="9" t="s">
        <v>547</v>
      </c>
      <c r="G112" s="9" t="s">
        <v>548</v>
      </c>
      <c r="H112" s="9" t="s">
        <v>549</v>
      </c>
      <c r="I112" s="11" t="s">
        <v>316</v>
      </c>
      <c r="J112" s="9" t="s">
        <v>544</v>
      </c>
      <c r="K112" s="9" t="s">
        <v>545</v>
      </c>
      <c r="L112" s="9"/>
      <c r="M112" s="8"/>
      <c r="N112" s="8"/>
    </row>
    <row r="113" customFormat="false" ht="79.85" hidden="false" customHeight="false" outlineLevel="0" collapsed="false">
      <c r="A113" s="9" t="s">
        <v>526</v>
      </c>
      <c r="B113" s="9" t="s">
        <v>539</v>
      </c>
      <c r="C113" s="9" t="s">
        <v>50</v>
      </c>
      <c r="D113" s="9" t="s">
        <v>44</v>
      </c>
      <c r="E113" s="9" t="s">
        <v>550</v>
      </c>
      <c r="F113" s="9" t="s">
        <v>551</v>
      </c>
      <c r="G113" s="9" t="s">
        <v>552</v>
      </c>
      <c r="H113" s="9" t="s">
        <v>553</v>
      </c>
      <c r="I113" s="11" t="s">
        <v>316</v>
      </c>
      <c r="J113" s="9" t="s">
        <v>544</v>
      </c>
      <c r="K113" s="9" t="s">
        <v>545</v>
      </c>
      <c r="L113" s="9"/>
      <c r="M113" s="8"/>
      <c r="N113" s="8"/>
    </row>
    <row r="114" customFormat="false" ht="79.85" hidden="false" customHeight="false" outlineLevel="0" collapsed="false">
      <c r="A114" s="6" t="s">
        <v>526</v>
      </c>
      <c r="B114" s="6" t="s">
        <v>539</v>
      </c>
      <c r="C114" s="6" t="s">
        <v>36</v>
      </c>
      <c r="D114" s="6"/>
      <c r="E114" s="6" t="s">
        <v>554</v>
      </c>
      <c r="F114" s="6" t="s">
        <v>555</v>
      </c>
      <c r="G114" s="6" t="s">
        <v>556</v>
      </c>
      <c r="H114" s="6" t="s">
        <v>557</v>
      </c>
      <c r="I114" s="11" t="s">
        <v>316</v>
      </c>
      <c r="J114" s="6" t="s">
        <v>544</v>
      </c>
      <c r="K114" s="6" t="s">
        <v>545</v>
      </c>
      <c r="L114" s="6" t="s">
        <v>44</v>
      </c>
      <c r="M114" s="8"/>
      <c r="N114" s="8"/>
    </row>
    <row r="115" customFormat="false" ht="79.85" hidden="false" customHeight="false" outlineLevel="0" collapsed="false">
      <c r="A115" s="9" t="s">
        <v>526</v>
      </c>
      <c r="B115" s="9" t="s">
        <v>539</v>
      </c>
      <c r="C115" s="9" t="s">
        <v>45</v>
      </c>
      <c r="D115" s="9" t="s">
        <v>44</v>
      </c>
      <c r="E115" s="9" t="s">
        <v>558</v>
      </c>
      <c r="F115" s="9" t="s">
        <v>559</v>
      </c>
      <c r="G115" s="9" t="s">
        <v>560</v>
      </c>
      <c r="H115" s="9" t="s">
        <v>561</v>
      </c>
      <c r="I115" s="11" t="s">
        <v>316</v>
      </c>
      <c r="J115" s="9" t="s">
        <v>544</v>
      </c>
      <c r="K115" s="9" t="s">
        <v>545</v>
      </c>
      <c r="L115" s="9"/>
      <c r="M115" s="8"/>
      <c r="N115" s="8"/>
    </row>
    <row r="116" customFormat="false" ht="79.85" hidden="false" customHeight="false" outlineLevel="0" collapsed="false">
      <c r="A116" s="6" t="s">
        <v>526</v>
      </c>
      <c r="B116" s="6" t="s">
        <v>562</v>
      </c>
      <c r="C116" s="6" t="s">
        <v>36</v>
      </c>
      <c r="D116" s="6"/>
      <c r="E116" s="6" t="s">
        <v>563</v>
      </c>
      <c r="F116" s="6" t="s">
        <v>564</v>
      </c>
      <c r="G116" s="6" t="s">
        <v>565</v>
      </c>
      <c r="H116" s="6" t="s">
        <v>566</v>
      </c>
      <c r="I116" s="7" t="s">
        <v>41</v>
      </c>
      <c r="J116" s="6" t="s">
        <v>567</v>
      </c>
      <c r="K116" s="6" t="s">
        <v>568</v>
      </c>
      <c r="L116" s="6"/>
      <c r="M116" s="8"/>
      <c r="N116" s="8"/>
    </row>
    <row r="117" customFormat="false" ht="79.85" hidden="false" customHeight="false" outlineLevel="0" collapsed="false">
      <c r="A117" s="9" t="s">
        <v>526</v>
      </c>
      <c r="B117" s="9" t="s">
        <v>562</v>
      </c>
      <c r="C117" s="9" t="s">
        <v>45</v>
      </c>
      <c r="D117" s="9" t="s">
        <v>44</v>
      </c>
      <c r="E117" s="9" t="s">
        <v>569</v>
      </c>
      <c r="F117" s="9" t="s">
        <v>570</v>
      </c>
      <c r="G117" s="9" t="s">
        <v>571</v>
      </c>
      <c r="H117" s="9" t="s">
        <v>572</v>
      </c>
      <c r="I117" s="7" t="s">
        <v>41</v>
      </c>
      <c r="J117" s="9" t="s">
        <v>567</v>
      </c>
      <c r="K117" s="9" t="s">
        <v>568</v>
      </c>
      <c r="L117" s="9" t="s">
        <v>44</v>
      </c>
      <c r="M117" s="8"/>
      <c r="N117" s="8"/>
    </row>
    <row r="118" customFormat="false" ht="79.85" hidden="false" customHeight="false" outlineLevel="0" collapsed="false">
      <c r="A118" s="9" t="s">
        <v>526</v>
      </c>
      <c r="B118" s="9" t="s">
        <v>562</v>
      </c>
      <c r="C118" s="9" t="s">
        <v>50</v>
      </c>
      <c r="D118" s="9" t="s">
        <v>44</v>
      </c>
      <c r="E118" s="9" t="s">
        <v>573</v>
      </c>
      <c r="F118" s="9" t="s">
        <v>574</v>
      </c>
      <c r="G118" s="9" t="s">
        <v>575</v>
      </c>
      <c r="H118" s="9" t="s">
        <v>576</v>
      </c>
      <c r="I118" s="7" t="s">
        <v>41</v>
      </c>
      <c r="J118" s="9" t="s">
        <v>567</v>
      </c>
      <c r="K118" s="9" t="s">
        <v>568</v>
      </c>
      <c r="L118" s="9"/>
      <c r="M118" s="8"/>
      <c r="N118" s="8"/>
    </row>
    <row r="119" customFormat="false" ht="79.85" hidden="false" customHeight="false" outlineLevel="0" collapsed="false">
      <c r="A119" s="6" t="s">
        <v>526</v>
      </c>
      <c r="B119" s="6" t="s">
        <v>562</v>
      </c>
      <c r="C119" s="6" t="s">
        <v>55</v>
      </c>
      <c r="D119" s="6"/>
      <c r="E119" s="6" t="s">
        <v>577</v>
      </c>
      <c r="F119" s="6" t="s">
        <v>578</v>
      </c>
      <c r="G119" s="6" t="s">
        <v>579</v>
      </c>
      <c r="H119" s="6" t="s">
        <v>580</v>
      </c>
      <c r="I119" s="7" t="s">
        <v>41</v>
      </c>
      <c r="J119" s="6" t="s">
        <v>567</v>
      </c>
      <c r="K119" s="6" t="s">
        <v>568</v>
      </c>
      <c r="L119" s="6"/>
      <c r="M119" s="8"/>
      <c r="N119" s="8"/>
    </row>
    <row r="120" customFormat="false" ht="79.85" hidden="false" customHeight="false" outlineLevel="0" collapsed="false">
      <c r="A120" s="9" t="s">
        <v>526</v>
      </c>
      <c r="B120" s="9" t="s">
        <v>562</v>
      </c>
      <c r="C120" s="9" t="s">
        <v>45</v>
      </c>
      <c r="D120" s="9" t="s">
        <v>44</v>
      </c>
      <c r="E120" s="9" t="s">
        <v>581</v>
      </c>
      <c r="F120" s="9" t="s">
        <v>582</v>
      </c>
      <c r="G120" s="9" t="s">
        <v>583</v>
      </c>
      <c r="H120" s="9" t="s">
        <v>584</v>
      </c>
      <c r="I120" s="7" t="s">
        <v>41</v>
      </c>
      <c r="J120" s="9" t="s">
        <v>567</v>
      </c>
      <c r="K120" s="9" t="s">
        <v>568</v>
      </c>
      <c r="L120" s="9"/>
      <c r="M120" s="8"/>
      <c r="N120" s="8"/>
    </row>
    <row r="121" customFormat="false" ht="79.85" hidden="false" customHeight="false" outlineLevel="0" collapsed="false">
      <c r="A121" s="9" t="s">
        <v>526</v>
      </c>
      <c r="B121" s="9" t="s">
        <v>562</v>
      </c>
      <c r="C121" s="9" t="s">
        <v>45</v>
      </c>
      <c r="D121" s="9" t="s">
        <v>44</v>
      </c>
      <c r="E121" s="9" t="s">
        <v>585</v>
      </c>
      <c r="F121" s="9" t="s">
        <v>586</v>
      </c>
      <c r="G121" s="9" t="s">
        <v>587</v>
      </c>
      <c r="H121" s="9" t="s">
        <v>588</v>
      </c>
      <c r="I121" s="7" t="s">
        <v>41</v>
      </c>
      <c r="J121" s="9" t="s">
        <v>567</v>
      </c>
      <c r="K121" s="9" t="s">
        <v>568</v>
      </c>
      <c r="L121" s="9"/>
      <c r="M121" s="8"/>
      <c r="N121" s="8"/>
    </row>
    <row r="122" customFormat="false" ht="79.85" hidden="false" customHeight="false" outlineLevel="0" collapsed="false">
      <c r="A122" s="6" t="s">
        <v>526</v>
      </c>
      <c r="B122" s="6" t="s">
        <v>562</v>
      </c>
      <c r="C122" s="6" t="s">
        <v>36</v>
      </c>
      <c r="D122" s="6"/>
      <c r="E122" s="6" t="s">
        <v>589</v>
      </c>
      <c r="F122" s="6" t="s">
        <v>590</v>
      </c>
      <c r="G122" s="6" t="s">
        <v>591</v>
      </c>
      <c r="H122" s="6" t="s">
        <v>592</v>
      </c>
      <c r="I122" s="7" t="s">
        <v>41</v>
      </c>
      <c r="J122" s="6" t="s">
        <v>567</v>
      </c>
      <c r="K122" s="6" t="s">
        <v>568</v>
      </c>
      <c r="L122" s="6" t="s">
        <v>44</v>
      </c>
      <c r="M122" s="8"/>
      <c r="N122" s="8"/>
    </row>
    <row r="123" customFormat="false" ht="79.85" hidden="false" customHeight="false" outlineLevel="0" collapsed="false">
      <c r="A123" s="9" t="s">
        <v>526</v>
      </c>
      <c r="B123" s="9" t="s">
        <v>562</v>
      </c>
      <c r="C123" s="9" t="s">
        <v>45</v>
      </c>
      <c r="D123" s="9" t="s">
        <v>44</v>
      </c>
      <c r="E123" s="9" t="s">
        <v>593</v>
      </c>
      <c r="F123" s="9" t="s">
        <v>594</v>
      </c>
      <c r="G123" s="9" t="s">
        <v>595</v>
      </c>
      <c r="H123" s="9" t="s">
        <v>596</v>
      </c>
      <c r="I123" s="7" t="s">
        <v>41</v>
      </c>
      <c r="J123" s="9" t="s">
        <v>567</v>
      </c>
      <c r="K123" s="9" t="s">
        <v>568</v>
      </c>
      <c r="L123" s="9" t="s">
        <v>44</v>
      </c>
      <c r="M123" s="8"/>
      <c r="N123" s="8"/>
    </row>
    <row r="124" customFormat="false" ht="79.85" hidden="false" customHeight="false" outlineLevel="0" collapsed="false">
      <c r="A124" s="9" t="s">
        <v>526</v>
      </c>
      <c r="B124" s="9" t="s">
        <v>562</v>
      </c>
      <c r="C124" s="9" t="s">
        <v>50</v>
      </c>
      <c r="D124" s="9" t="s">
        <v>44</v>
      </c>
      <c r="E124" s="9" t="s">
        <v>597</v>
      </c>
      <c r="F124" s="9" t="s">
        <v>598</v>
      </c>
      <c r="G124" s="9" t="s">
        <v>599</v>
      </c>
      <c r="H124" s="9" t="s">
        <v>600</v>
      </c>
      <c r="I124" s="7" t="s">
        <v>41</v>
      </c>
      <c r="J124" s="9" t="s">
        <v>567</v>
      </c>
      <c r="K124" s="9" t="s">
        <v>568</v>
      </c>
      <c r="L124" s="9" t="s">
        <v>44</v>
      </c>
      <c r="M124" s="8"/>
      <c r="N124" s="8"/>
    </row>
    <row r="125" customFormat="false" ht="79.85" hidden="false" customHeight="false" outlineLevel="0" collapsed="false">
      <c r="A125" s="9" t="s">
        <v>526</v>
      </c>
      <c r="B125" s="9" t="s">
        <v>562</v>
      </c>
      <c r="C125" s="9" t="s">
        <v>50</v>
      </c>
      <c r="D125" s="9" t="s">
        <v>44</v>
      </c>
      <c r="E125" s="9" t="s">
        <v>601</v>
      </c>
      <c r="F125" s="9" t="s">
        <v>602</v>
      </c>
      <c r="G125" s="9" t="s">
        <v>603</v>
      </c>
      <c r="H125" s="9" t="s">
        <v>604</v>
      </c>
      <c r="I125" s="7" t="s">
        <v>41</v>
      </c>
      <c r="J125" s="9" t="s">
        <v>567</v>
      </c>
      <c r="K125" s="9" t="s">
        <v>568</v>
      </c>
      <c r="L125" s="9" t="s">
        <v>44</v>
      </c>
      <c r="M125" s="8"/>
      <c r="N125" s="8"/>
    </row>
    <row r="126" customFormat="false" ht="91" hidden="false" customHeight="false" outlineLevel="0" collapsed="false">
      <c r="A126" s="6" t="s">
        <v>526</v>
      </c>
      <c r="B126" s="6" t="s">
        <v>562</v>
      </c>
      <c r="C126" s="6" t="s">
        <v>55</v>
      </c>
      <c r="D126" s="6"/>
      <c r="E126" s="6" t="s">
        <v>605</v>
      </c>
      <c r="F126" s="6" t="s">
        <v>606</v>
      </c>
      <c r="G126" s="6" t="s">
        <v>607</v>
      </c>
      <c r="H126" s="6" t="s">
        <v>608</v>
      </c>
      <c r="I126" s="7" t="s">
        <v>41</v>
      </c>
      <c r="J126" s="6" t="s">
        <v>567</v>
      </c>
      <c r="K126" s="6" t="s">
        <v>568</v>
      </c>
      <c r="L126" s="6"/>
      <c r="M126" s="8"/>
      <c r="N126" s="8"/>
    </row>
    <row r="127" customFormat="false" ht="79.85" hidden="false" customHeight="false" outlineLevel="0" collapsed="false">
      <c r="A127" s="9" t="s">
        <v>526</v>
      </c>
      <c r="B127" s="9" t="s">
        <v>562</v>
      </c>
      <c r="C127" s="9" t="s">
        <v>50</v>
      </c>
      <c r="D127" s="9" t="s">
        <v>44</v>
      </c>
      <c r="E127" s="9" t="s">
        <v>609</v>
      </c>
      <c r="F127" s="9" t="s">
        <v>610</v>
      </c>
      <c r="G127" s="9" t="s">
        <v>611</v>
      </c>
      <c r="H127" s="9" t="s">
        <v>612</v>
      </c>
      <c r="I127" s="7" t="s">
        <v>41</v>
      </c>
      <c r="J127" s="9" t="s">
        <v>567</v>
      </c>
      <c r="K127" s="9" t="s">
        <v>568</v>
      </c>
      <c r="L127" s="9" t="s">
        <v>44</v>
      </c>
      <c r="M127" s="8"/>
      <c r="N127" s="8"/>
    </row>
    <row r="128" customFormat="false" ht="68.65" hidden="false" customHeight="false" outlineLevel="0" collapsed="false">
      <c r="A128" s="9" t="s">
        <v>526</v>
      </c>
      <c r="B128" s="9" t="s">
        <v>613</v>
      </c>
      <c r="C128" s="9" t="s">
        <v>45</v>
      </c>
      <c r="D128" s="9" t="s">
        <v>44</v>
      </c>
      <c r="E128" s="9" t="s">
        <v>614</v>
      </c>
      <c r="F128" s="9" t="s">
        <v>615</v>
      </c>
      <c r="G128" s="9" t="s">
        <v>616</v>
      </c>
      <c r="H128" s="9" t="s">
        <v>617</v>
      </c>
      <c r="I128" s="7" t="s">
        <v>41</v>
      </c>
      <c r="J128" s="9" t="s">
        <v>618</v>
      </c>
      <c r="K128" s="9" t="s">
        <v>619</v>
      </c>
      <c r="L128" s="9"/>
      <c r="M128" s="8"/>
      <c r="N128" s="8"/>
    </row>
    <row r="129" customFormat="false" ht="68.65" hidden="false" customHeight="false" outlineLevel="0" collapsed="false">
      <c r="A129" s="9" t="s">
        <v>526</v>
      </c>
      <c r="B129" s="9" t="s">
        <v>613</v>
      </c>
      <c r="C129" s="9" t="s">
        <v>50</v>
      </c>
      <c r="D129" s="9" t="s">
        <v>44</v>
      </c>
      <c r="E129" s="9" t="s">
        <v>620</v>
      </c>
      <c r="F129" s="9" t="s">
        <v>621</v>
      </c>
      <c r="G129" s="9" t="s">
        <v>622</v>
      </c>
      <c r="H129" s="9" t="s">
        <v>623</v>
      </c>
      <c r="I129" s="7" t="s">
        <v>41</v>
      </c>
      <c r="J129" s="9" t="s">
        <v>618</v>
      </c>
      <c r="K129" s="9" t="s">
        <v>619</v>
      </c>
      <c r="L129" s="9"/>
      <c r="M129" s="8"/>
      <c r="N129" s="8"/>
    </row>
    <row r="130" customFormat="false" ht="68.65" hidden="false" customHeight="false" outlineLevel="0" collapsed="false">
      <c r="A130" s="6" t="s">
        <v>526</v>
      </c>
      <c r="B130" s="6" t="s">
        <v>613</v>
      </c>
      <c r="C130" s="6" t="s">
        <v>55</v>
      </c>
      <c r="D130" s="6"/>
      <c r="E130" s="6" t="s">
        <v>624</v>
      </c>
      <c r="F130" s="6" t="s">
        <v>625</v>
      </c>
      <c r="G130" s="6" t="s">
        <v>626</v>
      </c>
      <c r="H130" s="6" t="s">
        <v>627</v>
      </c>
      <c r="I130" s="7" t="s">
        <v>41</v>
      </c>
      <c r="J130" s="6" t="s">
        <v>618</v>
      </c>
      <c r="K130" s="6" t="s">
        <v>619</v>
      </c>
      <c r="L130" s="6"/>
      <c r="M130" s="8"/>
      <c r="N130" s="8"/>
    </row>
    <row r="131" customFormat="false" ht="57.45" hidden="false" customHeight="false" outlineLevel="0" collapsed="false">
      <c r="A131" s="9" t="s">
        <v>526</v>
      </c>
      <c r="B131" s="9" t="s">
        <v>628</v>
      </c>
      <c r="C131" s="9" t="s">
        <v>45</v>
      </c>
      <c r="D131" s="9" t="s">
        <v>44</v>
      </c>
      <c r="E131" s="9" t="s">
        <v>629</v>
      </c>
      <c r="F131" s="9" t="s">
        <v>630</v>
      </c>
      <c r="G131" s="9" t="s">
        <v>631</v>
      </c>
      <c r="H131" s="9" t="s">
        <v>632</v>
      </c>
      <c r="I131" s="10" t="s">
        <v>102</v>
      </c>
      <c r="J131" s="9" t="s">
        <v>633</v>
      </c>
      <c r="K131" s="9" t="s">
        <v>634</v>
      </c>
      <c r="L131" s="9" t="s">
        <v>44</v>
      </c>
      <c r="M131" s="8"/>
      <c r="N131" s="8"/>
    </row>
    <row r="132" customFormat="false" ht="79.85" hidden="false" customHeight="false" outlineLevel="0" collapsed="false">
      <c r="A132" s="9" t="s">
        <v>526</v>
      </c>
      <c r="B132" s="9" t="s">
        <v>628</v>
      </c>
      <c r="C132" s="9" t="s">
        <v>50</v>
      </c>
      <c r="D132" s="9" t="s">
        <v>44</v>
      </c>
      <c r="E132" s="9" t="s">
        <v>635</v>
      </c>
      <c r="F132" s="9" t="s">
        <v>636</v>
      </c>
      <c r="G132" s="9" t="s">
        <v>637</v>
      </c>
      <c r="H132" s="9" t="s">
        <v>638</v>
      </c>
      <c r="I132" s="10" t="s">
        <v>102</v>
      </c>
      <c r="J132" s="9" t="s">
        <v>633</v>
      </c>
      <c r="K132" s="9" t="s">
        <v>634</v>
      </c>
      <c r="L132" s="9" t="s">
        <v>44</v>
      </c>
      <c r="M132" s="8"/>
      <c r="N132" s="8"/>
    </row>
    <row r="133" customFormat="false" ht="68.65" hidden="false" customHeight="false" outlineLevel="0" collapsed="false">
      <c r="A133" s="6" t="s">
        <v>526</v>
      </c>
      <c r="B133" s="6" t="s">
        <v>628</v>
      </c>
      <c r="C133" s="6" t="s">
        <v>55</v>
      </c>
      <c r="D133" s="6"/>
      <c r="E133" s="6" t="s">
        <v>628</v>
      </c>
      <c r="F133" s="6" t="s">
        <v>639</v>
      </c>
      <c r="G133" s="6" t="s">
        <v>640</v>
      </c>
      <c r="H133" s="6" t="s">
        <v>641</v>
      </c>
      <c r="I133" s="10" t="s">
        <v>102</v>
      </c>
      <c r="J133" s="6" t="s">
        <v>633</v>
      </c>
      <c r="K133" s="6" t="s">
        <v>634</v>
      </c>
      <c r="L133" s="6"/>
      <c r="M133" s="8"/>
      <c r="N133" s="8"/>
    </row>
    <row r="134" customFormat="false" ht="57.45" hidden="false" customHeight="false" outlineLevel="0" collapsed="false">
      <c r="A134" s="9" t="s">
        <v>526</v>
      </c>
      <c r="B134" s="9" t="s">
        <v>642</v>
      </c>
      <c r="C134" s="9" t="s">
        <v>45</v>
      </c>
      <c r="D134" s="9" t="s">
        <v>44</v>
      </c>
      <c r="E134" s="9" t="s">
        <v>643</v>
      </c>
      <c r="F134" s="9" t="s">
        <v>106</v>
      </c>
      <c r="G134" s="9" t="s">
        <v>631</v>
      </c>
      <c r="H134" s="9" t="s">
        <v>644</v>
      </c>
      <c r="I134" s="10" t="s">
        <v>102</v>
      </c>
      <c r="J134" s="9" t="s">
        <v>645</v>
      </c>
      <c r="K134" s="9" t="s">
        <v>646</v>
      </c>
      <c r="L134" s="9" t="s">
        <v>44</v>
      </c>
      <c r="M134" s="8"/>
      <c r="N134" s="8"/>
    </row>
    <row r="135" customFormat="false" ht="68.65" hidden="false" customHeight="false" outlineLevel="0" collapsed="false">
      <c r="A135" s="9" t="s">
        <v>526</v>
      </c>
      <c r="B135" s="9" t="s">
        <v>642</v>
      </c>
      <c r="C135" s="9" t="s">
        <v>50</v>
      </c>
      <c r="D135" s="9" t="s">
        <v>44</v>
      </c>
      <c r="E135" s="9" t="s">
        <v>647</v>
      </c>
      <c r="F135" s="9" t="s">
        <v>648</v>
      </c>
      <c r="G135" s="9" t="s">
        <v>649</v>
      </c>
      <c r="H135" s="9" t="s">
        <v>650</v>
      </c>
      <c r="I135" s="10" t="s">
        <v>102</v>
      </c>
      <c r="J135" s="9" t="s">
        <v>645</v>
      </c>
      <c r="K135" s="9" t="s">
        <v>646</v>
      </c>
      <c r="L135" s="9"/>
      <c r="M135" s="8"/>
      <c r="N135" s="8"/>
    </row>
    <row r="136" customFormat="false" ht="68.65" hidden="false" customHeight="false" outlineLevel="0" collapsed="false">
      <c r="A136" s="6" t="s">
        <v>526</v>
      </c>
      <c r="B136" s="6" t="s">
        <v>642</v>
      </c>
      <c r="C136" s="6" t="s">
        <v>55</v>
      </c>
      <c r="D136" s="6"/>
      <c r="E136" s="6" t="s">
        <v>651</v>
      </c>
      <c r="F136" s="6" t="s">
        <v>652</v>
      </c>
      <c r="G136" s="6" t="s">
        <v>653</v>
      </c>
      <c r="H136" s="6" t="s">
        <v>654</v>
      </c>
      <c r="I136" s="10" t="s">
        <v>102</v>
      </c>
      <c r="J136" s="6" t="s">
        <v>645</v>
      </c>
      <c r="K136" s="6" t="s">
        <v>646</v>
      </c>
      <c r="L136" s="6"/>
      <c r="M136" s="8"/>
      <c r="N136" s="8"/>
    </row>
    <row r="137" customFormat="false" ht="57.45" hidden="false" customHeight="false" outlineLevel="0" collapsed="false">
      <c r="A137" s="9" t="s">
        <v>526</v>
      </c>
      <c r="B137" s="9" t="s">
        <v>655</v>
      </c>
      <c r="C137" s="9" t="s">
        <v>45</v>
      </c>
      <c r="D137" s="9" t="s">
        <v>44</v>
      </c>
      <c r="E137" s="9" t="s">
        <v>656</v>
      </c>
      <c r="F137" s="9" t="s">
        <v>657</v>
      </c>
      <c r="G137" s="9" t="s">
        <v>631</v>
      </c>
      <c r="H137" s="9" t="s">
        <v>658</v>
      </c>
      <c r="I137" s="10" t="s">
        <v>102</v>
      </c>
      <c r="J137" s="9" t="s">
        <v>659</v>
      </c>
      <c r="K137" s="9" t="s">
        <v>660</v>
      </c>
      <c r="L137" s="9" t="s">
        <v>44</v>
      </c>
      <c r="M137" s="8"/>
      <c r="N137" s="8"/>
    </row>
    <row r="138" customFormat="false" ht="57.45" hidden="false" customHeight="false" outlineLevel="0" collapsed="false">
      <c r="A138" s="9" t="s">
        <v>526</v>
      </c>
      <c r="B138" s="9" t="s">
        <v>655</v>
      </c>
      <c r="C138" s="9" t="s">
        <v>50</v>
      </c>
      <c r="D138" s="9" t="s">
        <v>44</v>
      </c>
      <c r="E138" s="9" t="s">
        <v>661</v>
      </c>
      <c r="F138" s="9" t="s">
        <v>662</v>
      </c>
      <c r="G138" s="9" t="s">
        <v>631</v>
      </c>
      <c r="H138" s="9" t="s">
        <v>658</v>
      </c>
      <c r="I138" s="10" t="s">
        <v>102</v>
      </c>
      <c r="J138" s="9" t="s">
        <v>659</v>
      </c>
      <c r="K138" s="9" t="s">
        <v>660</v>
      </c>
      <c r="L138" s="9" t="s">
        <v>44</v>
      </c>
      <c r="M138" s="8"/>
      <c r="N138" s="8"/>
    </row>
    <row r="139" customFormat="false" ht="57.45" hidden="false" customHeight="false" outlineLevel="0" collapsed="false">
      <c r="A139" s="6" t="s">
        <v>526</v>
      </c>
      <c r="B139" s="6" t="s">
        <v>663</v>
      </c>
      <c r="C139" s="6" t="s">
        <v>36</v>
      </c>
      <c r="D139" s="6"/>
      <c r="E139" s="6" t="s">
        <v>664</v>
      </c>
      <c r="F139" s="6" t="s">
        <v>665</v>
      </c>
      <c r="G139" s="6" t="s">
        <v>666</v>
      </c>
      <c r="H139" s="6" t="s">
        <v>667</v>
      </c>
      <c r="I139" s="10" t="s">
        <v>102</v>
      </c>
      <c r="J139" s="6" t="s">
        <v>668</v>
      </c>
      <c r="K139" s="6" t="s">
        <v>669</v>
      </c>
      <c r="L139" s="6"/>
      <c r="M139" s="8"/>
      <c r="N139" s="8"/>
    </row>
    <row r="140" customFormat="false" ht="68.65" hidden="false" customHeight="false" outlineLevel="0" collapsed="false">
      <c r="A140" s="9" t="s">
        <v>526</v>
      </c>
      <c r="B140" s="9" t="s">
        <v>663</v>
      </c>
      <c r="C140" s="9" t="s">
        <v>50</v>
      </c>
      <c r="D140" s="9" t="s">
        <v>44</v>
      </c>
      <c r="E140" s="9" t="s">
        <v>670</v>
      </c>
      <c r="F140" s="9" t="s">
        <v>671</v>
      </c>
      <c r="G140" s="9" t="s">
        <v>672</v>
      </c>
      <c r="H140" s="9" t="s">
        <v>673</v>
      </c>
      <c r="I140" s="10" t="s">
        <v>102</v>
      </c>
      <c r="J140" s="9" t="s">
        <v>668</v>
      </c>
      <c r="K140" s="9" t="s">
        <v>669</v>
      </c>
      <c r="L140" s="9"/>
      <c r="M140" s="8"/>
      <c r="N140" s="8"/>
    </row>
    <row r="141" customFormat="false" ht="68.65" hidden="false" customHeight="false" outlineLevel="0" collapsed="false">
      <c r="A141" s="6" t="s">
        <v>526</v>
      </c>
      <c r="B141" s="6" t="s">
        <v>663</v>
      </c>
      <c r="C141" s="6" t="s">
        <v>55</v>
      </c>
      <c r="D141" s="6"/>
      <c r="E141" s="6" t="s">
        <v>674</v>
      </c>
      <c r="F141" s="6" t="s">
        <v>675</v>
      </c>
      <c r="G141" s="6" t="s">
        <v>676</v>
      </c>
      <c r="H141" s="6" t="s">
        <v>677</v>
      </c>
      <c r="I141" s="10" t="s">
        <v>102</v>
      </c>
      <c r="J141" s="6" t="s">
        <v>668</v>
      </c>
      <c r="K141" s="6" t="s">
        <v>669</v>
      </c>
      <c r="L141" s="6"/>
      <c r="M141" s="8"/>
      <c r="N141" s="8"/>
    </row>
    <row r="142" customFormat="false" ht="57.45" hidden="false" customHeight="false" outlineLevel="0" collapsed="false">
      <c r="A142" s="6" t="s">
        <v>526</v>
      </c>
      <c r="B142" s="6" t="s">
        <v>663</v>
      </c>
      <c r="C142" s="6" t="s">
        <v>55</v>
      </c>
      <c r="D142" s="6"/>
      <c r="E142" s="6" t="s">
        <v>678</v>
      </c>
      <c r="F142" s="6" t="s">
        <v>106</v>
      </c>
      <c r="G142" s="6" t="s">
        <v>631</v>
      </c>
      <c r="H142" s="6" t="s">
        <v>679</v>
      </c>
      <c r="I142" s="10" t="s">
        <v>102</v>
      </c>
      <c r="J142" s="6" t="s">
        <v>668</v>
      </c>
      <c r="K142" s="6" t="s">
        <v>669</v>
      </c>
      <c r="L142" s="6" t="s">
        <v>44</v>
      </c>
      <c r="M142" s="8"/>
      <c r="N142" s="8"/>
    </row>
    <row r="143" customFormat="false" ht="57.45" hidden="false" customHeight="false" outlineLevel="0" collapsed="false">
      <c r="A143" s="9" t="s">
        <v>526</v>
      </c>
      <c r="B143" s="9" t="s">
        <v>680</v>
      </c>
      <c r="C143" s="9" t="s">
        <v>50</v>
      </c>
      <c r="D143" s="9" t="s">
        <v>44</v>
      </c>
      <c r="E143" s="9" t="s">
        <v>681</v>
      </c>
      <c r="F143" s="9" t="s">
        <v>682</v>
      </c>
      <c r="G143" s="9" t="s">
        <v>631</v>
      </c>
      <c r="H143" s="9" t="s">
        <v>683</v>
      </c>
      <c r="I143" s="10" t="s">
        <v>102</v>
      </c>
      <c r="J143" s="9" t="s">
        <v>684</v>
      </c>
      <c r="K143" s="9" t="s">
        <v>685</v>
      </c>
      <c r="L143" s="9" t="s">
        <v>44</v>
      </c>
      <c r="M143" s="8"/>
      <c r="N143" s="8"/>
    </row>
    <row r="144" customFormat="false" ht="57.45" hidden="false" customHeight="false" outlineLevel="0" collapsed="false">
      <c r="A144" s="6" t="s">
        <v>526</v>
      </c>
      <c r="B144" s="6" t="s">
        <v>680</v>
      </c>
      <c r="C144" s="6" t="s">
        <v>55</v>
      </c>
      <c r="D144" s="6"/>
      <c r="E144" s="6" t="s">
        <v>686</v>
      </c>
      <c r="F144" s="6" t="s">
        <v>687</v>
      </c>
      <c r="G144" s="6" t="s">
        <v>631</v>
      </c>
      <c r="H144" s="6" t="s">
        <v>679</v>
      </c>
      <c r="I144" s="10" t="s">
        <v>102</v>
      </c>
      <c r="J144" s="6" t="s">
        <v>684</v>
      </c>
      <c r="K144" s="6" t="s">
        <v>685</v>
      </c>
      <c r="L144" s="6" t="s">
        <v>44</v>
      </c>
      <c r="M144" s="8"/>
      <c r="N144" s="8"/>
    </row>
    <row r="145" customFormat="false" ht="57.45" hidden="false" customHeight="false" outlineLevel="0" collapsed="false">
      <c r="A145" s="9" t="s">
        <v>526</v>
      </c>
      <c r="B145" s="9" t="s">
        <v>680</v>
      </c>
      <c r="C145" s="9" t="s">
        <v>50</v>
      </c>
      <c r="D145" s="9" t="s">
        <v>44</v>
      </c>
      <c r="E145" s="9" t="s">
        <v>688</v>
      </c>
      <c r="F145" s="9" t="s">
        <v>689</v>
      </c>
      <c r="G145" s="9" t="s">
        <v>631</v>
      </c>
      <c r="H145" s="9" t="s">
        <v>690</v>
      </c>
      <c r="I145" s="10" t="s">
        <v>102</v>
      </c>
      <c r="J145" s="9" t="s">
        <v>684</v>
      </c>
      <c r="K145" s="9" t="s">
        <v>685</v>
      </c>
      <c r="L145" s="9" t="s">
        <v>44</v>
      </c>
      <c r="M145" s="8"/>
      <c r="N145" s="8"/>
    </row>
    <row r="146" customFormat="false" ht="68.65" hidden="false" customHeight="false" outlineLevel="0" collapsed="false">
      <c r="A146" s="9" t="s">
        <v>526</v>
      </c>
      <c r="B146" s="9" t="s">
        <v>691</v>
      </c>
      <c r="C146" s="9" t="s">
        <v>50</v>
      </c>
      <c r="D146" s="9" t="s">
        <v>44</v>
      </c>
      <c r="E146" s="9" t="s">
        <v>692</v>
      </c>
      <c r="F146" s="9" t="s">
        <v>693</v>
      </c>
      <c r="G146" s="9" t="s">
        <v>694</v>
      </c>
      <c r="H146" s="9" t="s">
        <v>695</v>
      </c>
      <c r="I146" s="10" t="s">
        <v>102</v>
      </c>
      <c r="J146" s="9" t="s">
        <v>696</v>
      </c>
      <c r="K146" s="9" t="s">
        <v>697</v>
      </c>
      <c r="L146" s="9"/>
      <c r="M146" s="8"/>
      <c r="N146" s="8"/>
    </row>
    <row r="147" customFormat="false" ht="46.25" hidden="false" customHeight="false" outlineLevel="0" collapsed="false">
      <c r="A147" s="6" t="s">
        <v>526</v>
      </c>
      <c r="B147" s="6" t="s">
        <v>691</v>
      </c>
      <c r="C147" s="6" t="s">
        <v>55</v>
      </c>
      <c r="D147" s="6"/>
      <c r="E147" s="6" t="s">
        <v>698</v>
      </c>
      <c r="F147" s="6" t="s">
        <v>699</v>
      </c>
      <c r="G147" s="6" t="s">
        <v>700</v>
      </c>
      <c r="H147" s="6" t="s">
        <v>701</v>
      </c>
      <c r="I147" s="10" t="s">
        <v>102</v>
      </c>
      <c r="J147" s="6" t="s">
        <v>696</v>
      </c>
      <c r="K147" s="6" t="s">
        <v>697</v>
      </c>
      <c r="L147" s="6"/>
      <c r="M147" s="8"/>
      <c r="N147" s="8"/>
    </row>
    <row r="148" customFormat="false" ht="57.45" hidden="false" customHeight="false" outlineLevel="0" collapsed="false">
      <c r="A148" s="9" t="s">
        <v>526</v>
      </c>
      <c r="B148" s="9" t="s">
        <v>702</v>
      </c>
      <c r="C148" s="9" t="s">
        <v>50</v>
      </c>
      <c r="D148" s="9" t="s">
        <v>44</v>
      </c>
      <c r="E148" s="9" t="s">
        <v>703</v>
      </c>
      <c r="F148" s="9" t="s">
        <v>704</v>
      </c>
      <c r="G148" s="9" t="s">
        <v>705</v>
      </c>
      <c r="H148" s="9" t="s">
        <v>706</v>
      </c>
      <c r="I148" s="10" t="s">
        <v>102</v>
      </c>
      <c r="J148" s="9" t="s">
        <v>707</v>
      </c>
      <c r="K148" s="9" t="s">
        <v>708</v>
      </c>
      <c r="L148" s="9"/>
      <c r="M148" s="8"/>
      <c r="N148" s="8"/>
    </row>
    <row r="149" customFormat="false" ht="57.45" hidden="false" customHeight="false" outlineLevel="0" collapsed="false">
      <c r="A149" s="6" t="s">
        <v>526</v>
      </c>
      <c r="B149" s="6" t="s">
        <v>702</v>
      </c>
      <c r="C149" s="6" t="s">
        <v>55</v>
      </c>
      <c r="D149" s="6"/>
      <c r="E149" s="6" t="s">
        <v>709</v>
      </c>
      <c r="F149" s="6" t="s">
        <v>710</v>
      </c>
      <c r="G149" s="6" t="s">
        <v>711</v>
      </c>
      <c r="H149" s="6" t="s">
        <v>712</v>
      </c>
      <c r="I149" s="10" t="s">
        <v>102</v>
      </c>
      <c r="J149" s="6" t="s">
        <v>707</v>
      </c>
      <c r="K149" s="6" t="s">
        <v>708</v>
      </c>
      <c r="L149" s="6"/>
      <c r="M149" s="8"/>
      <c r="N149" s="8"/>
    </row>
    <row r="150" customFormat="false" ht="57.45" hidden="false" customHeight="false" outlineLevel="0" collapsed="false">
      <c r="A150" s="9" t="s">
        <v>526</v>
      </c>
      <c r="B150" s="9" t="s">
        <v>713</v>
      </c>
      <c r="C150" s="9" t="s">
        <v>45</v>
      </c>
      <c r="D150" s="9" t="s">
        <v>44</v>
      </c>
      <c r="E150" s="9" t="s">
        <v>714</v>
      </c>
      <c r="F150" s="9" t="s">
        <v>715</v>
      </c>
      <c r="G150" s="9" t="s">
        <v>716</v>
      </c>
      <c r="H150" s="9" t="s">
        <v>717</v>
      </c>
      <c r="I150" s="10" t="s">
        <v>102</v>
      </c>
      <c r="J150" s="9" t="s">
        <v>718</v>
      </c>
      <c r="K150" s="9" t="s">
        <v>719</v>
      </c>
      <c r="L150" s="9"/>
      <c r="M150" s="8"/>
      <c r="N150" s="8"/>
    </row>
    <row r="151" customFormat="false" ht="68.65" hidden="false" customHeight="false" outlineLevel="0" collapsed="false">
      <c r="A151" s="9" t="s">
        <v>526</v>
      </c>
      <c r="B151" s="9" t="s">
        <v>713</v>
      </c>
      <c r="C151" s="9" t="s">
        <v>50</v>
      </c>
      <c r="D151" s="9" t="s">
        <v>44</v>
      </c>
      <c r="E151" s="9" t="s">
        <v>720</v>
      </c>
      <c r="F151" s="9" t="s">
        <v>721</v>
      </c>
      <c r="G151" s="9" t="s">
        <v>722</v>
      </c>
      <c r="H151" s="9" t="s">
        <v>723</v>
      </c>
      <c r="I151" s="10" t="s">
        <v>102</v>
      </c>
      <c r="J151" s="9" t="s">
        <v>718</v>
      </c>
      <c r="K151" s="9" t="s">
        <v>719</v>
      </c>
      <c r="L151" s="9"/>
      <c r="M151" s="8"/>
      <c r="N151" s="8"/>
    </row>
    <row r="152" customFormat="false" ht="57.45" hidden="false" customHeight="false" outlineLevel="0" collapsed="false">
      <c r="A152" s="6" t="s">
        <v>526</v>
      </c>
      <c r="B152" s="6" t="s">
        <v>713</v>
      </c>
      <c r="C152" s="6" t="s">
        <v>55</v>
      </c>
      <c r="D152" s="6"/>
      <c r="E152" s="6" t="s">
        <v>724</v>
      </c>
      <c r="F152" s="6" t="s">
        <v>725</v>
      </c>
      <c r="G152" s="6" t="s">
        <v>726</v>
      </c>
      <c r="H152" s="6" t="s">
        <v>727</v>
      </c>
      <c r="I152" s="10" t="s">
        <v>102</v>
      </c>
      <c r="J152" s="6" t="s">
        <v>718</v>
      </c>
      <c r="K152" s="6" t="s">
        <v>719</v>
      </c>
      <c r="L152" s="6"/>
      <c r="M152" s="8"/>
      <c r="N152" s="8"/>
    </row>
    <row r="153" customFormat="false" ht="68.65" hidden="false" customHeight="false" outlineLevel="0" collapsed="false">
      <c r="A153" s="9" t="s">
        <v>526</v>
      </c>
      <c r="B153" s="9" t="s">
        <v>728</v>
      </c>
      <c r="C153" s="9" t="s">
        <v>50</v>
      </c>
      <c r="D153" s="9" t="s">
        <v>44</v>
      </c>
      <c r="E153" s="9" t="s">
        <v>729</v>
      </c>
      <c r="F153" s="9" t="s">
        <v>730</v>
      </c>
      <c r="G153" s="9" t="s">
        <v>731</v>
      </c>
      <c r="H153" s="9" t="s">
        <v>732</v>
      </c>
      <c r="I153" s="7" t="s">
        <v>41</v>
      </c>
      <c r="J153" s="9" t="s">
        <v>733</v>
      </c>
      <c r="K153" s="9" t="s">
        <v>734</v>
      </c>
      <c r="L153" s="9" t="s">
        <v>44</v>
      </c>
      <c r="M153" s="8"/>
      <c r="N153" s="8"/>
    </row>
    <row r="154" customFormat="false" ht="57.45" hidden="false" customHeight="false" outlineLevel="0" collapsed="false">
      <c r="A154" s="6" t="s">
        <v>526</v>
      </c>
      <c r="B154" s="6" t="s">
        <v>728</v>
      </c>
      <c r="C154" s="6" t="s">
        <v>55</v>
      </c>
      <c r="D154" s="6"/>
      <c r="E154" s="6" t="s">
        <v>735</v>
      </c>
      <c r="F154" s="6" t="s">
        <v>736</v>
      </c>
      <c r="G154" s="6" t="s">
        <v>631</v>
      </c>
      <c r="H154" s="6" t="s">
        <v>679</v>
      </c>
      <c r="I154" s="7" t="s">
        <v>41</v>
      </c>
      <c r="J154" s="6" t="s">
        <v>733</v>
      </c>
      <c r="K154" s="6" t="s">
        <v>734</v>
      </c>
      <c r="L154" s="6" t="s">
        <v>44</v>
      </c>
      <c r="M154" s="8"/>
      <c r="N154" s="8"/>
    </row>
    <row r="155" customFormat="false" ht="113.4" hidden="false" customHeight="false" outlineLevel="0" collapsed="false">
      <c r="A155" s="9" t="s">
        <v>737</v>
      </c>
      <c r="B155" s="9" t="s">
        <v>738</v>
      </c>
      <c r="C155" s="9" t="s">
        <v>45</v>
      </c>
      <c r="D155" s="9" t="s">
        <v>44</v>
      </c>
      <c r="E155" s="9" t="s">
        <v>739</v>
      </c>
      <c r="F155" s="9" t="s">
        <v>740</v>
      </c>
      <c r="G155" s="9" t="s">
        <v>741</v>
      </c>
      <c r="H155" s="9" t="s">
        <v>742</v>
      </c>
      <c r="I155" s="10" t="s">
        <v>102</v>
      </c>
      <c r="J155" s="9" t="s">
        <v>743</v>
      </c>
      <c r="K155" s="9" t="s">
        <v>744</v>
      </c>
      <c r="L155" s="9" t="s">
        <v>44</v>
      </c>
      <c r="M155" s="8"/>
      <c r="N155" s="8"/>
    </row>
    <row r="156" customFormat="false" ht="68.65" hidden="false" customHeight="false" outlineLevel="0" collapsed="false">
      <c r="A156" s="9" t="s">
        <v>737</v>
      </c>
      <c r="B156" s="9" t="s">
        <v>738</v>
      </c>
      <c r="C156" s="9" t="s">
        <v>50</v>
      </c>
      <c r="D156" s="9" t="s">
        <v>44</v>
      </c>
      <c r="E156" s="9" t="s">
        <v>745</v>
      </c>
      <c r="F156" s="9" t="s">
        <v>746</v>
      </c>
      <c r="G156" s="9" t="s">
        <v>747</v>
      </c>
      <c r="H156" s="9" t="s">
        <v>748</v>
      </c>
      <c r="I156" s="10" t="s">
        <v>102</v>
      </c>
      <c r="J156" s="9" t="s">
        <v>743</v>
      </c>
      <c r="K156" s="9" t="s">
        <v>744</v>
      </c>
      <c r="L156" s="9" t="s">
        <v>44</v>
      </c>
      <c r="M156" s="8"/>
      <c r="N156" s="8"/>
    </row>
    <row r="157" customFormat="false" ht="57.45" hidden="false" customHeight="false" outlineLevel="0" collapsed="false">
      <c r="A157" s="9" t="s">
        <v>737</v>
      </c>
      <c r="B157" s="9" t="s">
        <v>749</v>
      </c>
      <c r="C157" s="9" t="s">
        <v>45</v>
      </c>
      <c r="D157" s="9" t="s">
        <v>44</v>
      </c>
      <c r="E157" s="9" t="s">
        <v>750</v>
      </c>
      <c r="F157" s="9" t="s">
        <v>751</v>
      </c>
      <c r="G157" s="9" t="s">
        <v>752</v>
      </c>
      <c r="H157" s="9" t="s">
        <v>753</v>
      </c>
      <c r="I157" s="10" t="s">
        <v>102</v>
      </c>
      <c r="J157" s="9" t="s">
        <v>754</v>
      </c>
      <c r="K157" s="9" t="s">
        <v>755</v>
      </c>
      <c r="L157" s="9" t="s">
        <v>44</v>
      </c>
      <c r="M157" s="8"/>
      <c r="N157" s="8"/>
    </row>
    <row r="158" customFormat="false" ht="68.65" hidden="false" customHeight="false" outlineLevel="0" collapsed="false">
      <c r="A158" s="9" t="s">
        <v>737</v>
      </c>
      <c r="B158" s="9" t="s">
        <v>749</v>
      </c>
      <c r="C158" s="9" t="s">
        <v>50</v>
      </c>
      <c r="D158" s="9" t="s">
        <v>44</v>
      </c>
      <c r="E158" s="9" t="s">
        <v>756</v>
      </c>
      <c r="F158" s="9" t="s">
        <v>757</v>
      </c>
      <c r="G158" s="9" t="s">
        <v>758</v>
      </c>
      <c r="H158" s="9" t="s">
        <v>759</v>
      </c>
      <c r="I158" s="10" t="s">
        <v>102</v>
      </c>
      <c r="J158" s="9" t="s">
        <v>754</v>
      </c>
      <c r="K158" s="9" t="s">
        <v>755</v>
      </c>
      <c r="L158" s="9" t="s">
        <v>44</v>
      </c>
      <c r="M158" s="8"/>
      <c r="N158" s="8"/>
    </row>
    <row r="159" customFormat="false" ht="91" hidden="false" customHeight="false" outlineLevel="0" collapsed="false">
      <c r="A159" s="6" t="s">
        <v>737</v>
      </c>
      <c r="B159" s="6" t="s">
        <v>760</v>
      </c>
      <c r="C159" s="6" t="s">
        <v>36</v>
      </c>
      <c r="D159" s="6"/>
      <c r="E159" s="6" t="s">
        <v>761</v>
      </c>
      <c r="F159" s="6" t="s">
        <v>762</v>
      </c>
      <c r="G159" s="6" t="s">
        <v>763</v>
      </c>
      <c r="H159" s="6" t="s">
        <v>764</v>
      </c>
      <c r="I159" s="10" t="s">
        <v>102</v>
      </c>
      <c r="J159" s="6" t="s">
        <v>765</v>
      </c>
      <c r="K159" s="6" t="s">
        <v>766</v>
      </c>
      <c r="L159" s="6" t="s">
        <v>44</v>
      </c>
      <c r="M159" s="8"/>
      <c r="N159" s="8"/>
    </row>
    <row r="160" customFormat="false" ht="91" hidden="false" customHeight="false" outlineLevel="0" collapsed="false">
      <c r="A160" s="9" t="s">
        <v>737</v>
      </c>
      <c r="B160" s="9" t="s">
        <v>760</v>
      </c>
      <c r="C160" s="9" t="s">
        <v>50</v>
      </c>
      <c r="D160" s="9" t="s">
        <v>44</v>
      </c>
      <c r="E160" s="9" t="s">
        <v>767</v>
      </c>
      <c r="F160" s="9" t="s">
        <v>768</v>
      </c>
      <c r="G160" s="9" t="s">
        <v>769</v>
      </c>
      <c r="H160" s="9" t="s">
        <v>770</v>
      </c>
      <c r="I160" s="10" t="s">
        <v>102</v>
      </c>
      <c r="J160" s="9" t="s">
        <v>765</v>
      </c>
      <c r="K160" s="9" t="s">
        <v>766</v>
      </c>
      <c r="L160" s="9" t="s">
        <v>44</v>
      </c>
      <c r="M160" s="8"/>
      <c r="N160" s="8"/>
    </row>
    <row r="161" customFormat="false" ht="91" hidden="false" customHeight="false" outlineLevel="0" collapsed="false">
      <c r="A161" s="6" t="s">
        <v>737</v>
      </c>
      <c r="B161" s="6" t="s">
        <v>760</v>
      </c>
      <c r="C161" s="6" t="s">
        <v>55</v>
      </c>
      <c r="D161" s="6"/>
      <c r="E161" s="6" t="s">
        <v>771</v>
      </c>
      <c r="F161" s="6" t="s">
        <v>772</v>
      </c>
      <c r="G161" s="6" t="s">
        <v>773</v>
      </c>
      <c r="H161" s="6" t="s">
        <v>774</v>
      </c>
      <c r="I161" s="10" t="s">
        <v>102</v>
      </c>
      <c r="J161" s="6" t="s">
        <v>765</v>
      </c>
      <c r="K161" s="6" t="s">
        <v>766</v>
      </c>
      <c r="L161" s="6" t="s">
        <v>44</v>
      </c>
      <c r="M161" s="8"/>
      <c r="N161" s="8"/>
    </row>
    <row r="162" customFormat="false" ht="91" hidden="false" customHeight="false" outlineLevel="0" collapsed="false">
      <c r="A162" s="9" t="s">
        <v>737</v>
      </c>
      <c r="B162" s="9" t="s">
        <v>760</v>
      </c>
      <c r="C162" s="9" t="s">
        <v>50</v>
      </c>
      <c r="D162" s="9" t="s">
        <v>44</v>
      </c>
      <c r="E162" s="9" t="s">
        <v>775</v>
      </c>
      <c r="F162" s="9" t="s">
        <v>776</v>
      </c>
      <c r="G162" s="9" t="s">
        <v>777</v>
      </c>
      <c r="H162" s="9" t="s">
        <v>778</v>
      </c>
      <c r="I162" s="10" t="s">
        <v>102</v>
      </c>
      <c r="J162" s="9" t="s">
        <v>765</v>
      </c>
      <c r="K162" s="9" t="s">
        <v>766</v>
      </c>
      <c r="L162" s="9"/>
      <c r="M162" s="8"/>
      <c r="N162" s="8"/>
    </row>
    <row r="163" customFormat="false" ht="91" hidden="false" customHeight="false" outlineLevel="0" collapsed="false">
      <c r="A163" s="6" t="s">
        <v>737</v>
      </c>
      <c r="B163" s="6" t="s">
        <v>760</v>
      </c>
      <c r="C163" s="6" t="s">
        <v>55</v>
      </c>
      <c r="D163" s="6"/>
      <c r="E163" s="6" t="s">
        <v>779</v>
      </c>
      <c r="F163" s="6" t="s">
        <v>780</v>
      </c>
      <c r="G163" s="6" t="s">
        <v>781</v>
      </c>
      <c r="H163" s="6" t="s">
        <v>782</v>
      </c>
      <c r="I163" s="10" t="s">
        <v>102</v>
      </c>
      <c r="J163" s="6" t="s">
        <v>765</v>
      </c>
      <c r="K163" s="6" t="s">
        <v>766</v>
      </c>
      <c r="L163" s="6" t="s">
        <v>44</v>
      </c>
      <c r="M163" s="8"/>
      <c r="N163" s="8"/>
    </row>
    <row r="164" customFormat="false" ht="91" hidden="false" customHeight="false" outlineLevel="0" collapsed="false">
      <c r="A164" s="9" t="s">
        <v>737</v>
      </c>
      <c r="B164" s="9" t="s">
        <v>760</v>
      </c>
      <c r="C164" s="9" t="s">
        <v>50</v>
      </c>
      <c r="D164" s="9" t="s">
        <v>44</v>
      </c>
      <c r="E164" s="9" t="s">
        <v>783</v>
      </c>
      <c r="F164" s="9" t="s">
        <v>784</v>
      </c>
      <c r="G164" s="9" t="s">
        <v>785</v>
      </c>
      <c r="H164" s="9" t="s">
        <v>786</v>
      </c>
      <c r="I164" s="10" t="s">
        <v>102</v>
      </c>
      <c r="J164" s="9" t="s">
        <v>765</v>
      </c>
      <c r="K164" s="9" t="s">
        <v>766</v>
      </c>
      <c r="L164" s="9" t="s">
        <v>44</v>
      </c>
      <c r="M164" s="8"/>
      <c r="N164" s="8"/>
    </row>
    <row r="165" customFormat="false" ht="35.05" hidden="false" customHeight="false" outlineLevel="0" collapsed="false">
      <c r="A165" s="9" t="s">
        <v>737</v>
      </c>
      <c r="B165" s="9" t="s">
        <v>787</v>
      </c>
      <c r="C165" s="9" t="s">
        <v>50</v>
      </c>
      <c r="D165" s="9" t="s">
        <v>44</v>
      </c>
      <c r="E165" s="9" t="s">
        <v>788</v>
      </c>
      <c r="F165" s="9" t="s">
        <v>789</v>
      </c>
      <c r="G165" s="9" t="s">
        <v>790</v>
      </c>
      <c r="H165" s="9" t="s">
        <v>791</v>
      </c>
      <c r="I165" s="10" t="s">
        <v>102</v>
      </c>
      <c r="J165" s="9" t="s">
        <v>792</v>
      </c>
      <c r="K165" s="9" t="s">
        <v>793</v>
      </c>
      <c r="L165" s="9" t="s">
        <v>44</v>
      </c>
      <c r="M165" s="8"/>
      <c r="N165" s="8"/>
    </row>
    <row r="166" customFormat="false" ht="35.05" hidden="false" customHeight="false" outlineLevel="0" collapsed="false">
      <c r="A166" s="6" t="s">
        <v>737</v>
      </c>
      <c r="B166" s="6" t="s">
        <v>787</v>
      </c>
      <c r="C166" s="6" t="s">
        <v>55</v>
      </c>
      <c r="D166" s="6"/>
      <c r="E166" s="6" t="s">
        <v>794</v>
      </c>
      <c r="F166" s="6" t="s">
        <v>795</v>
      </c>
      <c r="G166" s="6" t="s">
        <v>790</v>
      </c>
      <c r="H166" s="6" t="s">
        <v>791</v>
      </c>
      <c r="I166" s="10" t="s">
        <v>102</v>
      </c>
      <c r="J166" s="6" t="s">
        <v>792</v>
      </c>
      <c r="K166" s="6" t="s">
        <v>793</v>
      </c>
      <c r="L166" s="6" t="s">
        <v>44</v>
      </c>
      <c r="M166" s="8"/>
      <c r="N166" s="8"/>
    </row>
    <row r="167" customFormat="false" ht="113.4" hidden="false" customHeight="false" outlineLevel="0" collapsed="false">
      <c r="A167" s="9" t="s">
        <v>737</v>
      </c>
      <c r="B167" s="9" t="s">
        <v>796</v>
      </c>
      <c r="C167" s="9" t="s">
        <v>45</v>
      </c>
      <c r="D167" s="9" t="s">
        <v>44</v>
      </c>
      <c r="E167" s="9" t="s">
        <v>797</v>
      </c>
      <c r="F167" s="9" t="s">
        <v>798</v>
      </c>
      <c r="G167" s="9" t="s">
        <v>799</v>
      </c>
      <c r="H167" s="9" t="s">
        <v>800</v>
      </c>
      <c r="I167" s="10" t="s">
        <v>102</v>
      </c>
      <c r="J167" s="9" t="s">
        <v>801</v>
      </c>
      <c r="K167" s="9" t="s">
        <v>802</v>
      </c>
      <c r="L167" s="9"/>
      <c r="M167" s="8"/>
      <c r="N167" s="8"/>
    </row>
    <row r="168" customFormat="false" ht="68.65" hidden="false" customHeight="false" outlineLevel="0" collapsed="false">
      <c r="A168" s="9" t="s">
        <v>737</v>
      </c>
      <c r="B168" s="9" t="s">
        <v>796</v>
      </c>
      <c r="C168" s="9" t="s">
        <v>50</v>
      </c>
      <c r="D168" s="9" t="s">
        <v>44</v>
      </c>
      <c r="E168" s="9" t="s">
        <v>803</v>
      </c>
      <c r="F168" s="9" t="s">
        <v>804</v>
      </c>
      <c r="G168" s="9" t="s">
        <v>805</v>
      </c>
      <c r="H168" s="9" t="s">
        <v>806</v>
      </c>
      <c r="I168" s="10" t="s">
        <v>102</v>
      </c>
      <c r="J168" s="9" t="s">
        <v>801</v>
      </c>
      <c r="K168" s="9" t="s">
        <v>802</v>
      </c>
      <c r="L168" s="9" t="s">
        <v>44</v>
      </c>
      <c r="M168" s="8"/>
      <c r="N168" s="8"/>
    </row>
    <row r="169" customFormat="false" ht="68.65" hidden="false" customHeight="false" outlineLevel="0" collapsed="false">
      <c r="A169" s="6" t="s">
        <v>737</v>
      </c>
      <c r="B169" s="6" t="s">
        <v>796</v>
      </c>
      <c r="C169" s="6" t="s">
        <v>55</v>
      </c>
      <c r="D169" s="6"/>
      <c r="E169" s="6" t="s">
        <v>807</v>
      </c>
      <c r="F169" s="6" t="s">
        <v>808</v>
      </c>
      <c r="G169" s="6" t="s">
        <v>809</v>
      </c>
      <c r="H169" s="6" t="s">
        <v>810</v>
      </c>
      <c r="I169" s="10" t="s">
        <v>102</v>
      </c>
      <c r="J169" s="6" t="s">
        <v>801</v>
      </c>
      <c r="K169" s="6" t="s">
        <v>802</v>
      </c>
      <c r="L169" s="6" t="s">
        <v>44</v>
      </c>
      <c r="M169" s="8"/>
      <c r="N169" s="8"/>
    </row>
    <row r="170" customFormat="false" ht="79.85" hidden="false" customHeight="false" outlineLevel="0" collapsed="false">
      <c r="A170" s="9" t="s">
        <v>737</v>
      </c>
      <c r="B170" s="9" t="s">
        <v>811</v>
      </c>
      <c r="C170" s="9" t="s">
        <v>45</v>
      </c>
      <c r="D170" s="9" t="s">
        <v>44</v>
      </c>
      <c r="E170" s="9" t="s">
        <v>812</v>
      </c>
      <c r="F170" s="9" t="s">
        <v>813</v>
      </c>
      <c r="G170" s="9" t="s">
        <v>814</v>
      </c>
      <c r="H170" s="9" t="s">
        <v>815</v>
      </c>
      <c r="I170" s="10" t="s">
        <v>102</v>
      </c>
      <c r="J170" s="9" t="s">
        <v>816</v>
      </c>
      <c r="K170" s="9" t="s">
        <v>817</v>
      </c>
      <c r="L170" s="9" t="s">
        <v>44</v>
      </c>
      <c r="M170" s="8"/>
      <c r="N170" s="8"/>
    </row>
    <row r="171" customFormat="false" ht="68.65" hidden="false" customHeight="false" outlineLevel="0" collapsed="false">
      <c r="A171" s="9" t="s">
        <v>737</v>
      </c>
      <c r="B171" s="9" t="s">
        <v>811</v>
      </c>
      <c r="C171" s="9" t="s">
        <v>50</v>
      </c>
      <c r="D171" s="9" t="s">
        <v>44</v>
      </c>
      <c r="E171" s="9" t="s">
        <v>818</v>
      </c>
      <c r="F171" s="9" t="s">
        <v>819</v>
      </c>
      <c r="G171" s="9" t="s">
        <v>820</v>
      </c>
      <c r="H171" s="9" t="s">
        <v>821</v>
      </c>
      <c r="I171" s="10" t="s">
        <v>102</v>
      </c>
      <c r="J171" s="9" t="s">
        <v>816</v>
      </c>
      <c r="K171" s="9" t="s">
        <v>817</v>
      </c>
      <c r="L171" s="9" t="s">
        <v>44</v>
      </c>
      <c r="M171" s="8"/>
      <c r="N171" s="8"/>
    </row>
    <row r="172" customFormat="false" ht="91" hidden="false" customHeight="false" outlineLevel="0" collapsed="false">
      <c r="A172" s="9" t="s">
        <v>737</v>
      </c>
      <c r="B172" s="9" t="s">
        <v>822</v>
      </c>
      <c r="C172" s="9" t="s">
        <v>45</v>
      </c>
      <c r="D172" s="9" t="s">
        <v>44</v>
      </c>
      <c r="E172" s="9" t="s">
        <v>823</v>
      </c>
      <c r="F172" s="9" t="s">
        <v>824</v>
      </c>
      <c r="G172" s="9" t="s">
        <v>825</v>
      </c>
      <c r="H172" s="9" t="s">
        <v>826</v>
      </c>
      <c r="I172" s="10" t="s">
        <v>102</v>
      </c>
      <c r="J172" s="9" t="s">
        <v>827</v>
      </c>
      <c r="K172" s="9" t="s">
        <v>828</v>
      </c>
      <c r="L172" s="9"/>
      <c r="M172" s="8"/>
      <c r="N172" s="8"/>
    </row>
    <row r="173" customFormat="false" ht="68.65" hidden="false" customHeight="false" outlineLevel="0" collapsed="false">
      <c r="A173" s="9" t="s">
        <v>737</v>
      </c>
      <c r="B173" s="9" t="s">
        <v>822</v>
      </c>
      <c r="C173" s="9" t="s">
        <v>50</v>
      </c>
      <c r="D173" s="9" t="s">
        <v>44</v>
      </c>
      <c r="E173" s="9" t="s">
        <v>829</v>
      </c>
      <c r="F173" s="9" t="s">
        <v>830</v>
      </c>
      <c r="G173" s="9" t="s">
        <v>831</v>
      </c>
      <c r="H173" s="9" t="s">
        <v>832</v>
      </c>
      <c r="I173" s="10" t="s">
        <v>102</v>
      </c>
      <c r="J173" s="9" t="s">
        <v>827</v>
      </c>
      <c r="K173" s="9" t="s">
        <v>828</v>
      </c>
      <c r="L173" s="9" t="s">
        <v>44</v>
      </c>
      <c r="M173" s="8"/>
      <c r="N173" s="8"/>
    </row>
    <row r="174" customFormat="false" ht="68.65" hidden="false" customHeight="false" outlineLevel="0" collapsed="false">
      <c r="A174" s="6" t="s">
        <v>737</v>
      </c>
      <c r="B174" s="6" t="s">
        <v>822</v>
      </c>
      <c r="C174" s="6" t="s">
        <v>55</v>
      </c>
      <c r="D174" s="6"/>
      <c r="E174" s="6" t="s">
        <v>833</v>
      </c>
      <c r="F174" s="6" t="s">
        <v>834</v>
      </c>
      <c r="G174" s="6" t="s">
        <v>835</v>
      </c>
      <c r="H174" s="6" t="s">
        <v>836</v>
      </c>
      <c r="I174" s="10" t="s">
        <v>102</v>
      </c>
      <c r="J174" s="6" t="s">
        <v>827</v>
      </c>
      <c r="K174" s="6" t="s">
        <v>828</v>
      </c>
      <c r="L174" s="6" t="s">
        <v>44</v>
      </c>
      <c r="M174" s="8"/>
      <c r="N174" s="8"/>
    </row>
    <row r="175" customFormat="false" ht="46.25" hidden="false" customHeight="false" outlineLevel="0" collapsed="false">
      <c r="A175" s="9" t="s">
        <v>737</v>
      </c>
      <c r="B175" s="9" t="s">
        <v>837</v>
      </c>
      <c r="C175" s="9" t="s">
        <v>50</v>
      </c>
      <c r="D175" s="9" t="s">
        <v>44</v>
      </c>
      <c r="E175" s="9" t="s">
        <v>838</v>
      </c>
      <c r="F175" s="9" t="s">
        <v>839</v>
      </c>
      <c r="G175" s="9" t="s">
        <v>840</v>
      </c>
      <c r="H175" s="9" t="s">
        <v>791</v>
      </c>
      <c r="I175" s="10" t="s">
        <v>102</v>
      </c>
      <c r="J175" s="9" t="s">
        <v>841</v>
      </c>
      <c r="K175" s="9" t="s">
        <v>842</v>
      </c>
      <c r="L175" s="9" t="s">
        <v>44</v>
      </c>
      <c r="M175" s="8"/>
      <c r="N175" s="8"/>
    </row>
    <row r="176" customFormat="false" ht="46.25" hidden="false" customHeight="false" outlineLevel="0" collapsed="false">
      <c r="A176" s="6" t="s">
        <v>737</v>
      </c>
      <c r="B176" s="6" t="s">
        <v>837</v>
      </c>
      <c r="C176" s="6" t="s">
        <v>55</v>
      </c>
      <c r="D176" s="6"/>
      <c r="E176" s="6" t="s">
        <v>843</v>
      </c>
      <c r="F176" s="6" t="s">
        <v>844</v>
      </c>
      <c r="G176" s="6" t="s">
        <v>840</v>
      </c>
      <c r="H176" s="6" t="s">
        <v>791</v>
      </c>
      <c r="I176" s="10" t="s">
        <v>102</v>
      </c>
      <c r="J176" s="6" t="s">
        <v>841</v>
      </c>
      <c r="K176" s="6" t="s">
        <v>842</v>
      </c>
      <c r="L176" s="6" t="s">
        <v>44</v>
      </c>
      <c r="M176" s="8"/>
      <c r="N176" s="8"/>
    </row>
  </sheetData>
  <autoFilter ref="A1:N176"/>
  <dataValidations count="1">
    <dataValidation allowBlank="true" errorStyle="stop" operator="between" showDropDown="false" showErrorMessage="false" showInputMessage="false" sqref="M2:M176" type="list">
      <formula1>"Not yet,Learning,Clean,Teacher-checked"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32"/>
    <col collapsed="false" customWidth="true" hidden="false" outlineLevel="0" max="4" min="4" style="0" width="70"/>
    <col collapsed="false" customWidth="true" hidden="false" outlineLevel="0" max="5" min="5" style="0" width="13"/>
  </cols>
  <sheetData>
    <row r="1" customFormat="false" ht="30" hidden="false" customHeight="true" outlineLevel="0" collapsed="false">
      <c r="A1" s="5" t="s">
        <v>20</v>
      </c>
      <c r="B1" s="5" t="s">
        <v>21</v>
      </c>
      <c r="C1" s="5" t="s">
        <v>845</v>
      </c>
      <c r="D1" s="5" t="s">
        <v>846</v>
      </c>
      <c r="E1" s="5" t="s">
        <v>28</v>
      </c>
    </row>
    <row r="2" customFormat="false" ht="23.85" hidden="false" customHeight="false" outlineLevel="0" collapsed="false">
      <c r="A2" s="6" t="s">
        <v>34</v>
      </c>
      <c r="B2" s="6" t="s">
        <v>35</v>
      </c>
      <c r="C2" s="6" t="s">
        <v>847</v>
      </c>
      <c r="D2" s="6" t="s">
        <v>848</v>
      </c>
      <c r="E2" s="11" t="s">
        <v>316</v>
      </c>
    </row>
    <row r="3" customFormat="false" ht="23.85" hidden="false" customHeight="false" outlineLevel="0" collapsed="false">
      <c r="A3" s="6" t="s">
        <v>34</v>
      </c>
      <c r="B3" s="6" t="s">
        <v>35</v>
      </c>
      <c r="C3" s="6" t="s">
        <v>849</v>
      </c>
      <c r="D3" s="6" t="s">
        <v>850</v>
      </c>
      <c r="E3" s="11" t="s">
        <v>316</v>
      </c>
    </row>
    <row r="4" customFormat="false" ht="23.85" hidden="false" customHeight="false" outlineLevel="0" collapsed="false">
      <c r="A4" s="6" t="s">
        <v>34</v>
      </c>
      <c r="B4" s="6" t="s">
        <v>35</v>
      </c>
      <c r="C4" s="6" t="s">
        <v>851</v>
      </c>
      <c r="D4" s="6" t="s">
        <v>852</v>
      </c>
      <c r="E4" s="7" t="s">
        <v>41</v>
      </c>
    </row>
    <row r="5" customFormat="false" ht="23.85" hidden="false" customHeight="false" outlineLevel="0" collapsed="false">
      <c r="A5" s="6" t="s">
        <v>34</v>
      </c>
      <c r="B5" s="6" t="s">
        <v>35</v>
      </c>
      <c r="C5" s="6" t="s">
        <v>853</v>
      </c>
      <c r="D5" s="6" t="s">
        <v>854</v>
      </c>
      <c r="E5" s="7" t="s">
        <v>41</v>
      </c>
    </row>
    <row r="6" customFormat="false" ht="23.85" hidden="false" customHeight="false" outlineLevel="0" collapsed="false">
      <c r="A6" s="6" t="s">
        <v>34</v>
      </c>
      <c r="B6" s="6" t="s">
        <v>35</v>
      </c>
      <c r="C6" s="6" t="s">
        <v>855</v>
      </c>
      <c r="D6" s="6" t="s">
        <v>856</v>
      </c>
      <c r="E6" s="7" t="s">
        <v>41</v>
      </c>
    </row>
    <row r="7" customFormat="false" ht="23.85" hidden="false" customHeight="false" outlineLevel="0" collapsed="false">
      <c r="A7" s="6" t="s">
        <v>34</v>
      </c>
      <c r="B7" s="6" t="s">
        <v>64</v>
      </c>
      <c r="C7" s="6" t="s">
        <v>857</v>
      </c>
      <c r="D7" s="6" t="s">
        <v>858</v>
      </c>
      <c r="E7" s="11" t="s">
        <v>316</v>
      </c>
    </row>
    <row r="8" customFormat="false" ht="23.85" hidden="false" customHeight="false" outlineLevel="0" collapsed="false">
      <c r="A8" s="6" t="s">
        <v>34</v>
      </c>
      <c r="B8" s="6" t="s">
        <v>64</v>
      </c>
      <c r="C8" s="6" t="s">
        <v>859</v>
      </c>
      <c r="D8" s="6" t="s">
        <v>860</v>
      </c>
      <c r="E8" s="7" t="s">
        <v>41</v>
      </c>
    </row>
    <row r="9" customFormat="false" ht="23.85" hidden="false" customHeight="false" outlineLevel="0" collapsed="false">
      <c r="A9" s="6" t="s">
        <v>34</v>
      </c>
      <c r="B9" s="6" t="s">
        <v>64</v>
      </c>
      <c r="C9" s="6" t="s">
        <v>861</v>
      </c>
      <c r="D9" s="6" t="s">
        <v>862</v>
      </c>
      <c r="E9" s="7" t="s">
        <v>41</v>
      </c>
    </row>
    <row r="10" customFormat="false" ht="15" hidden="false" customHeight="false" outlineLevel="0" collapsed="false">
      <c r="A10" s="6" t="s">
        <v>34</v>
      </c>
      <c r="B10" s="6" t="s">
        <v>64</v>
      </c>
      <c r="C10" s="6" t="s">
        <v>863</v>
      </c>
      <c r="D10" s="6" t="s">
        <v>864</v>
      </c>
      <c r="E10" s="7" t="s">
        <v>41</v>
      </c>
    </row>
    <row r="11" customFormat="false" ht="23.85" hidden="false" customHeight="false" outlineLevel="0" collapsed="false">
      <c r="A11" s="6" t="s">
        <v>34</v>
      </c>
      <c r="B11" s="6" t="s">
        <v>64</v>
      </c>
      <c r="C11" s="6" t="s">
        <v>865</v>
      </c>
      <c r="D11" s="6" t="s">
        <v>866</v>
      </c>
      <c r="E11" s="10" t="s">
        <v>102</v>
      </c>
    </row>
    <row r="12" customFormat="false" ht="15" hidden="false" customHeight="false" outlineLevel="0" collapsed="false">
      <c r="A12" s="6" t="s">
        <v>34</v>
      </c>
      <c r="B12" s="6" t="s">
        <v>79</v>
      </c>
      <c r="C12" s="6" t="s">
        <v>867</v>
      </c>
      <c r="D12" s="6" t="s">
        <v>868</v>
      </c>
      <c r="E12" s="11" t="s">
        <v>316</v>
      </c>
    </row>
    <row r="13" customFormat="false" ht="23.85" hidden="false" customHeight="false" outlineLevel="0" collapsed="false">
      <c r="A13" s="6" t="s">
        <v>34</v>
      </c>
      <c r="B13" s="6" t="s">
        <v>79</v>
      </c>
      <c r="C13" s="6" t="s">
        <v>869</v>
      </c>
      <c r="D13" s="6" t="s">
        <v>870</v>
      </c>
      <c r="E13" s="7" t="s">
        <v>41</v>
      </c>
    </row>
    <row r="14" customFormat="false" ht="23.85" hidden="false" customHeight="false" outlineLevel="0" collapsed="false">
      <c r="A14" s="6" t="s">
        <v>34</v>
      </c>
      <c r="B14" s="6" t="s">
        <v>79</v>
      </c>
      <c r="C14" s="6" t="s">
        <v>871</v>
      </c>
      <c r="D14" s="6" t="s">
        <v>872</v>
      </c>
      <c r="E14" s="7" t="s">
        <v>41</v>
      </c>
    </row>
    <row r="15" customFormat="false" ht="15" hidden="false" customHeight="false" outlineLevel="0" collapsed="false">
      <c r="A15" s="6" t="s">
        <v>34</v>
      </c>
      <c r="B15" s="6" t="s">
        <v>79</v>
      </c>
      <c r="C15" s="6" t="s">
        <v>873</v>
      </c>
      <c r="D15" s="6" t="s">
        <v>874</v>
      </c>
      <c r="E15" s="7" t="s">
        <v>41</v>
      </c>
    </row>
    <row r="16" customFormat="false" ht="23.85" hidden="false" customHeight="false" outlineLevel="0" collapsed="false">
      <c r="A16" s="6" t="s">
        <v>34</v>
      </c>
      <c r="B16" s="6" t="s">
        <v>79</v>
      </c>
      <c r="C16" s="6" t="s">
        <v>875</v>
      </c>
      <c r="D16" s="6" t="s">
        <v>876</v>
      </c>
      <c r="E16" s="10" t="s">
        <v>102</v>
      </c>
    </row>
    <row r="17" customFormat="false" ht="15" hidden="false" customHeight="false" outlineLevel="0" collapsed="false">
      <c r="A17" s="6" t="s">
        <v>34</v>
      </c>
      <c r="B17" s="6" t="s">
        <v>98</v>
      </c>
      <c r="C17" s="6" t="s">
        <v>877</v>
      </c>
      <c r="D17" s="6" t="s">
        <v>878</v>
      </c>
      <c r="E17" s="7" t="s">
        <v>41</v>
      </c>
    </row>
    <row r="18" customFormat="false" ht="23.85" hidden="false" customHeight="false" outlineLevel="0" collapsed="false">
      <c r="A18" s="6" t="s">
        <v>34</v>
      </c>
      <c r="B18" s="6" t="s">
        <v>98</v>
      </c>
      <c r="C18" s="6" t="s">
        <v>879</v>
      </c>
      <c r="D18" s="6" t="s">
        <v>880</v>
      </c>
      <c r="E18" s="10" t="s">
        <v>102</v>
      </c>
    </row>
    <row r="19" customFormat="false" ht="15" hidden="false" customHeight="false" outlineLevel="0" collapsed="false">
      <c r="A19" s="6" t="s">
        <v>34</v>
      </c>
      <c r="B19" s="6" t="s">
        <v>98</v>
      </c>
      <c r="C19" s="6" t="s">
        <v>881</v>
      </c>
      <c r="D19" s="6" t="s">
        <v>882</v>
      </c>
      <c r="E19" s="11" t="s">
        <v>316</v>
      </c>
    </row>
    <row r="20" customFormat="false" ht="23.85" hidden="false" customHeight="false" outlineLevel="0" collapsed="false">
      <c r="A20" s="6" t="s">
        <v>34</v>
      </c>
      <c r="B20" s="6" t="s">
        <v>98</v>
      </c>
      <c r="C20" s="6" t="s">
        <v>883</v>
      </c>
      <c r="D20" s="6" t="s">
        <v>884</v>
      </c>
      <c r="E20" s="10" t="s">
        <v>102</v>
      </c>
    </row>
    <row r="21" customFormat="false" ht="23.85" hidden="false" customHeight="false" outlineLevel="0" collapsed="false">
      <c r="A21" s="6" t="s">
        <v>34</v>
      </c>
      <c r="B21" s="6" t="s">
        <v>113</v>
      </c>
      <c r="C21" s="6" t="s">
        <v>885</v>
      </c>
      <c r="D21" s="6" t="s">
        <v>886</v>
      </c>
      <c r="E21" s="11" t="s">
        <v>316</v>
      </c>
    </row>
    <row r="22" customFormat="false" ht="23.85" hidden="false" customHeight="false" outlineLevel="0" collapsed="false">
      <c r="A22" s="6" t="s">
        <v>34</v>
      </c>
      <c r="B22" s="6" t="s">
        <v>113</v>
      </c>
      <c r="C22" s="6" t="s">
        <v>887</v>
      </c>
      <c r="D22" s="6" t="s">
        <v>888</v>
      </c>
      <c r="E22" s="11" t="s">
        <v>316</v>
      </c>
    </row>
    <row r="23" customFormat="false" ht="23.85" hidden="false" customHeight="false" outlineLevel="0" collapsed="false">
      <c r="A23" s="6" t="s">
        <v>34</v>
      </c>
      <c r="B23" s="6" t="s">
        <v>113</v>
      </c>
      <c r="C23" s="6" t="s">
        <v>889</v>
      </c>
      <c r="D23" s="6" t="s">
        <v>890</v>
      </c>
      <c r="E23" s="7" t="s">
        <v>41</v>
      </c>
    </row>
    <row r="24" customFormat="false" ht="15" hidden="false" customHeight="false" outlineLevel="0" collapsed="false">
      <c r="A24" s="6" t="s">
        <v>34</v>
      </c>
      <c r="B24" s="6" t="s">
        <v>113</v>
      </c>
      <c r="C24" s="6" t="s">
        <v>891</v>
      </c>
      <c r="D24" s="6" t="s">
        <v>892</v>
      </c>
      <c r="E24" s="7" t="s">
        <v>41</v>
      </c>
    </row>
    <row r="25" customFormat="false" ht="23.85" hidden="false" customHeight="false" outlineLevel="0" collapsed="false">
      <c r="A25" s="6" t="s">
        <v>34</v>
      </c>
      <c r="B25" s="6" t="s">
        <v>113</v>
      </c>
      <c r="C25" s="6" t="s">
        <v>893</v>
      </c>
      <c r="D25" s="6" t="s">
        <v>894</v>
      </c>
      <c r="E25" s="10" t="s">
        <v>102</v>
      </c>
    </row>
    <row r="26" customFormat="false" ht="15" hidden="false" customHeight="false" outlineLevel="0" collapsed="false">
      <c r="A26" s="6" t="s">
        <v>34</v>
      </c>
      <c r="B26" s="6" t="s">
        <v>113</v>
      </c>
      <c r="C26" s="6" t="s">
        <v>895</v>
      </c>
      <c r="D26" s="6" t="s">
        <v>896</v>
      </c>
      <c r="E26" s="10" t="s">
        <v>102</v>
      </c>
    </row>
    <row r="27" customFormat="false" ht="15" hidden="false" customHeight="false" outlineLevel="0" collapsed="false">
      <c r="A27" s="6" t="s">
        <v>34</v>
      </c>
      <c r="B27" s="6" t="s">
        <v>143</v>
      </c>
      <c r="C27" s="6" t="s">
        <v>897</v>
      </c>
      <c r="D27" s="6" t="s">
        <v>898</v>
      </c>
      <c r="E27" s="11" t="s">
        <v>316</v>
      </c>
    </row>
    <row r="28" customFormat="false" ht="23.85" hidden="false" customHeight="false" outlineLevel="0" collapsed="false">
      <c r="A28" s="6" t="s">
        <v>34</v>
      </c>
      <c r="B28" s="6" t="s">
        <v>143</v>
      </c>
      <c r="C28" s="6" t="s">
        <v>899</v>
      </c>
      <c r="D28" s="6" t="s">
        <v>900</v>
      </c>
      <c r="E28" s="7" t="s">
        <v>41</v>
      </c>
    </row>
    <row r="29" customFormat="false" ht="15" hidden="false" customHeight="false" outlineLevel="0" collapsed="false">
      <c r="A29" s="6" t="s">
        <v>34</v>
      </c>
      <c r="B29" s="6" t="s">
        <v>143</v>
      </c>
      <c r="C29" s="6" t="s">
        <v>901</v>
      </c>
      <c r="D29" s="6" t="s">
        <v>902</v>
      </c>
      <c r="E29" s="10" t="s">
        <v>102</v>
      </c>
    </row>
    <row r="30" customFormat="false" ht="15" hidden="false" customHeight="false" outlineLevel="0" collapsed="false">
      <c r="A30" s="6" t="s">
        <v>34</v>
      </c>
      <c r="B30" s="6" t="s">
        <v>143</v>
      </c>
      <c r="C30" s="6" t="s">
        <v>903</v>
      </c>
      <c r="D30" s="6" t="s">
        <v>904</v>
      </c>
      <c r="E30" s="10" t="s">
        <v>102</v>
      </c>
    </row>
    <row r="31" customFormat="false" ht="23.85" hidden="false" customHeight="false" outlineLevel="0" collapsed="false">
      <c r="A31" s="6" t="s">
        <v>34</v>
      </c>
      <c r="B31" s="6" t="s">
        <v>153</v>
      </c>
      <c r="C31" s="6" t="s">
        <v>905</v>
      </c>
      <c r="D31" s="6" t="s">
        <v>906</v>
      </c>
      <c r="E31" s="11" t="s">
        <v>316</v>
      </c>
    </row>
    <row r="32" customFormat="false" ht="23.85" hidden="false" customHeight="false" outlineLevel="0" collapsed="false">
      <c r="A32" s="6" t="s">
        <v>34</v>
      </c>
      <c r="B32" s="6" t="s">
        <v>153</v>
      </c>
      <c r="C32" s="6" t="s">
        <v>907</v>
      </c>
      <c r="D32" s="6" t="s">
        <v>908</v>
      </c>
      <c r="E32" s="7" t="s">
        <v>41</v>
      </c>
    </row>
    <row r="33" customFormat="false" ht="23.85" hidden="false" customHeight="false" outlineLevel="0" collapsed="false">
      <c r="A33" s="6" t="s">
        <v>34</v>
      </c>
      <c r="B33" s="6" t="s">
        <v>153</v>
      </c>
      <c r="C33" s="6" t="s">
        <v>909</v>
      </c>
      <c r="D33" s="6" t="s">
        <v>910</v>
      </c>
      <c r="E33" s="7" t="s">
        <v>41</v>
      </c>
    </row>
    <row r="34" customFormat="false" ht="15" hidden="false" customHeight="false" outlineLevel="0" collapsed="false">
      <c r="A34" s="6" t="s">
        <v>34</v>
      </c>
      <c r="B34" s="6" t="s">
        <v>153</v>
      </c>
      <c r="C34" s="6" t="s">
        <v>911</v>
      </c>
      <c r="D34" s="6" t="s">
        <v>912</v>
      </c>
      <c r="E34" s="11" t="s">
        <v>316</v>
      </c>
    </row>
    <row r="35" customFormat="false" ht="15" hidden="false" customHeight="false" outlineLevel="0" collapsed="false">
      <c r="A35" s="6" t="s">
        <v>34</v>
      </c>
      <c r="B35" s="6" t="s">
        <v>153</v>
      </c>
      <c r="C35" s="6" t="s">
        <v>913</v>
      </c>
      <c r="D35" s="6" t="s">
        <v>914</v>
      </c>
      <c r="E35" s="10" t="s">
        <v>102</v>
      </c>
    </row>
    <row r="36" customFormat="false" ht="15" hidden="false" customHeight="false" outlineLevel="0" collapsed="false">
      <c r="A36" s="6" t="s">
        <v>34</v>
      </c>
      <c r="B36" s="6" t="s">
        <v>180</v>
      </c>
      <c r="C36" s="6" t="s">
        <v>915</v>
      </c>
      <c r="D36" s="6" t="s">
        <v>916</v>
      </c>
      <c r="E36" s="11" t="s">
        <v>316</v>
      </c>
    </row>
    <row r="37" customFormat="false" ht="15" hidden="false" customHeight="false" outlineLevel="0" collapsed="false">
      <c r="A37" s="6" t="s">
        <v>34</v>
      </c>
      <c r="B37" s="6" t="s">
        <v>180</v>
      </c>
      <c r="C37" s="6" t="s">
        <v>917</v>
      </c>
      <c r="D37" s="6" t="s">
        <v>918</v>
      </c>
      <c r="E37" s="7" t="s">
        <v>41</v>
      </c>
    </row>
    <row r="38" customFormat="false" ht="23.85" hidden="false" customHeight="false" outlineLevel="0" collapsed="false">
      <c r="A38" s="6" t="s">
        <v>34</v>
      </c>
      <c r="B38" s="6" t="s">
        <v>180</v>
      </c>
      <c r="C38" s="6" t="s">
        <v>919</v>
      </c>
      <c r="D38" s="6" t="s">
        <v>920</v>
      </c>
      <c r="E38" s="7" t="s">
        <v>41</v>
      </c>
    </row>
    <row r="39" customFormat="false" ht="15" hidden="false" customHeight="false" outlineLevel="0" collapsed="false">
      <c r="A39" s="6" t="s">
        <v>34</v>
      </c>
      <c r="B39" s="6" t="s">
        <v>180</v>
      </c>
      <c r="C39" s="6" t="s">
        <v>921</v>
      </c>
      <c r="D39" s="6" t="s">
        <v>922</v>
      </c>
      <c r="E39" s="10" t="s">
        <v>102</v>
      </c>
    </row>
    <row r="40" customFormat="false" ht="23.85" hidden="false" customHeight="false" outlineLevel="0" collapsed="false">
      <c r="A40" s="6" t="s">
        <v>34</v>
      </c>
      <c r="B40" s="6" t="s">
        <v>199</v>
      </c>
      <c r="C40" s="6" t="s">
        <v>923</v>
      </c>
      <c r="D40" s="6" t="s">
        <v>924</v>
      </c>
      <c r="E40" s="7" t="s">
        <v>41</v>
      </c>
    </row>
    <row r="41" customFormat="false" ht="15" hidden="false" customHeight="false" outlineLevel="0" collapsed="false">
      <c r="A41" s="6" t="s">
        <v>34</v>
      </c>
      <c r="B41" s="6" t="s">
        <v>199</v>
      </c>
      <c r="C41" s="6" t="s">
        <v>925</v>
      </c>
      <c r="D41" s="6" t="s">
        <v>926</v>
      </c>
      <c r="E41" s="7" t="s">
        <v>41</v>
      </c>
    </row>
    <row r="42" customFormat="false" ht="15" hidden="false" customHeight="false" outlineLevel="0" collapsed="false">
      <c r="A42" s="6" t="s">
        <v>34</v>
      </c>
      <c r="B42" s="6" t="s">
        <v>199</v>
      </c>
      <c r="C42" s="6" t="s">
        <v>927</v>
      </c>
      <c r="D42" s="6" t="s">
        <v>928</v>
      </c>
      <c r="E42" s="7" t="s">
        <v>41</v>
      </c>
    </row>
    <row r="43" customFormat="false" ht="23.85" hidden="false" customHeight="false" outlineLevel="0" collapsed="false">
      <c r="A43" s="6" t="s">
        <v>34</v>
      </c>
      <c r="B43" s="6" t="s">
        <v>199</v>
      </c>
      <c r="C43" s="6" t="s">
        <v>929</v>
      </c>
      <c r="D43" s="6" t="s">
        <v>930</v>
      </c>
      <c r="E43" s="7" t="s">
        <v>41</v>
      </c>
    </row>
    <row r="44" customFormat="false" ht="23.85" hidden="false" customHeight="false" outlineLevel="0" collapsed="false">
      <c r="A44" s="6" t="s">
        <v>34</v>
      </c>
      <c r="B44" s="6" t="s">
        <v>199</v>
      </c>
      <c r="C44" s="6" t="s">
        <v>931</v>
      </c>
      <c r="D44" s="6" t="s">
        <v>932</v>
      </c>
      <c r="E44" s="10" t="s">
        <v>102</v>
      </c>
    </row>
    <row r="45" customFormat="false" ht="23.85" hidden="false" customHeight="false" outlineLevel="0" collapsed="false">
      <c r="A45" s="6" t="s">
        <v>34</v>
      </c>
      <c r="B45" s="6" t="s">
        <v>217</v>
      </c>
      <c r="C45" s="6" t="s">
        <v>933</v>
      </c>
      <c r="D45" s="6" t="s">
        <v>934</v>
      </c>
      <c r="E45" s="10" t="s">
        <v>102</v>
      </c>
    </row>
    <row r="46" customFormat="false" ht="23.85" hidden="false" customHeight="false" outlineLevel="0" collapsed="false">
      <c r="A46" s="6" t="s">
        <v>34</v>
      </c>
      <c r="B46" s="6" t="s">
        <v>217</v>
      </c>
      <c r="C46" s="6" t="s">
        <v>935</v>
      </c>
      <c r="D46" s="6" t="s">
        <v>936</v>
      </c>
      <c r="E46" s="10" t="s">
        <v>102</v>
      </c>
    </row>
    <row r="47" customFormat="false" ht="23.85" hidden="false" customHeight="false" outlineLevel="0" collapsed="false">
      <c r="A47" s="6" t="s">
        <v>34</v>
      </c>
      <c r="B47" s="6" t="s">
        <v>217</v>
      </c>
      <c r="C47" s="6" t="s">
        <v>937</v>
      </c>
      <c r="D47" s="6" t="s">
        <v>938</v>
      </c>
      <c r="E47" s="7" t="s">
        <v>41</v>
      </c>
    </row>
    <row r="48" customFormat="false" ht="23.85" hidden="false" customHeight="false" outlineLevel="0" collapsed="false">
      <c r="A48" s="6" t="s">
        <v>34</v>
      </c>
      <c r="B48" s="6" t="s">
        <v>217</v>
      </c>
      <c r="C48" s="6" t="s">
        <v>939</v>
      </c>
      <c r="D48" s="6" t="s">
        <v>940</v>
      </c>
      <c r="E48" s="10" t="s">
        <v>102</v>
      </c>
    </row>
    <row r="49" customFormat="false" ht="15" hidden="false" customHeight="false" outlineLevel="0" collapsed="false">
      <c r="A49" s="6" t="s">
        <v>34</v>
      </c>
      <c r="B49" s="6" t="s">
        <v>231</v>
      </c>
      <c r="C49" s="6" t="s">
        <v>941</v>
      </c>
      <c r="D49" s="6" t="s">
        <v>942</v>
      </c>
      <c r="E49" s="11" t="s">
        <v>316</v>
      </c>
    </row>
    <row r="50" customFormat="false" ht="15" hidden="false" customHeight="false" outlineLevel="0" collapsed="false">
      <c r="A50" s="6" t="s">
        <v>34</v>
      </c>
      <c r="B50" s="6" t="s">
        <v>231</v>
      </c>
      <c r="C50" s="6" t="s">
        <v>943</v>
      </c>
      <c r="D50" s="6" t="s">
        <v>944</v>
      </c>
      <c r="E50" s="7" t="s">
        <v>41</v>
      </c>
    </row>
    <row r="51" customFormat="false" ht="15" hidden="false" customHeight="false" outlineLevel="0" collapsed="false">
      <c r="A51" s="6" t="s">
        <v>34</v>
      </c>
      <c r="B51" s="6" t="s">
        <v>231</v>
      </c>
      <c r="C51" s="6" t="s">
        <v>945</v>
      </c>
      <c r="D51" s="6" t="s">
        <v>946</v>
      </c>
      <c r="E51" s="7" t="s">
        <v>41</v>
      </c>
    </row>
    <row r="52" customFormat="false" ht="23.85" hidden="false" customHeight="false" outlineLevel="0" collapsed="false">
      <c r="A52" s="6" t="s">
        <v>34</v>
      </c>
      <c r="B52" s="6" t="s">
        <v>231</v>
      </c>
      <c r="C52" s="6" t="s">
        <v>947</v>
      </c>
      <c r="D52" s="6" t="s">
        <v>948</v>
      </c>
      <c r="E52" s="10" t="s">
        <v>102</v>
      </c>
    </row>
    <row r="53" customFormat="false" ht="15" hidden="false" customHeight="false" outlineLevel="0" collapsed="false">
      <c r="A53" s="6" t="s">
        <v>34</v>
      </c>
      <c r="B53" s="6" t="s">
        <v>231</v>
      </c>
      <c r="C53" s="6" t="s">
        <v>949</v>
      </c>
      <c r="D53" s="6" t="s">
        <v>950</v>
      </c>
      <c r="E53" s="7" t="s">
        <v>41</v>
      </c>
    </row>
    <row r="54" customFormat="false" ht="15" hidden="false" customHeight="false" outlineLevel="0" collapsed="false">
      <c r="A54" s="6" t="s">
        <v>34</v>
      </c>
      <c r="B54" s="6" t="s">
        <v>250</v>
      </c>
      <c r="C54" s="6" t="s">
        <v>951</v>
      </c>
      <c r="D54" s="6" t="s">
        <v>952</v>
      </c>
      <c r="E54" s="11" t="s">
        <v>316</v>
      </c>
    </row>
    <row r="55" customFormat="false" ht="23.85" hidden="false" customHeight="false" outlineLevel="0" collapsed="false">
      <c r="A55" s="6" t="s">
        <v>34</v>
      </c>
      <c r="B55" s="6" t="s">
        <v>250</v>
      </c>
      <c r="C55" s="6" t="s">
        <v>953</v>
      </c>
      <c r="D55" s="6" t="s">
        <v>954</v>
      </c>
      <c r="E55" s="7" t="s">
        <v>41</v>
      </c>
    </row>
    <row r="56" customFormat="false" ht="23.85" hidden="false" customHeight="false" outlineLevel="0" collapsed="false">
      <c r="A56" s="6" t="s">
        <v>34</v>
      </c>
      <c r="B56" s="6" t="s">
        <v>250</v>
      </c>
      <c r="C56" s="6" t="s">
        <v>955</v>
      </c>
      <c r="D56" s="6" t="s">
        <v>956</v>
      </c>
      <c r="E56" s="7" t="s">
        <v>41</v>
      </c>
    </row>
    <row r="57" customFormat="false" ht="15" hidden="false" customHeight="false" outlineLevel="0" collapsed="false">
      <c r="A57" s="6" t="s">
        <v>34</v>
      </c>
      <c r="B57" s="6" t="s">
        <v>250</v>
      </c>
      <c r="C57" s="6" t="s">
        <v>957</v>
      </c>
      <c r="D57" s="6" t="s">
        <v>958</v>
      </c>
      <c r="E57" s="7" t="s">
        <v>41</v>
      </c>
    </row>
    <row r="58" customFormat="false" ht="15" hidden="false" customHeight="false" outlineLevel="0" collapsed="false">
      <c r="A58" s="6" t="s">
        <v>34</v>
      </c>
      <c r="B58" s="6" t="s">
        <v>250</v>
      </c>
      <c r="C58" s="6" t="s">
        <v>959</v>
      </c>
      <c r="D58" s="6" t="s">
        <v>960</v>
      </c>
      <c r="E58" s="10" t="s">
        <v>102</v>
      </c>
    </row>
    <row r="59" customFormat="false" ht="15" hidden="false" customHeight="false" outlineLevel="0" collapsed="false">
      <c r="A59" s="6" t="s">
        <v>34</v>
      </c>
      <c r="B59" s="6" t="s">
        <v>128</v>
      </c>
      <c r="C59" s="6" t="s">
        <v>120</v>
      </c>
      <c r="D59" s="6" t="s">
        <v>961</v>
      </c>
      <c r="E59" s="10" t="s">
        <v>102</v>
      </c>
    </row>
    <row r="60" customFormat="false" ht="23.85" hidden="false" customHeight="false" outlineLevel="0" collapsed="false">
      <c r="A60" s="6" t="s">
        <v>34</v>
      </c>
      <c r="B60" s="6" t="s">
        <v>128</v>
      </c>
      <c r="C60" s="6" t="s">
        <v>962</v>
      </c>
      <c r="D60" s="6" t="s">
        <v>963</v>
      </c>
      <c r="E60" s="10" t="s">
        <v>102</v>
      </c>
    </row>
    <row r="61" customFormat="false" ht="15" hidden="false" customHeight="false" outlineLevel="0" collapsed="false">
      <c r="A61" s="6" t="s">
        <v>34</v>
      </c>
      <c r="B61" s="6" t="s">
        <v>128</v>
      </c>
      <c r="C61" s="6" t="s">
        <v>964</v>
      </c>
      <c r="D61" s="6" t="s">
        <v>965</v>
      </c>
      <c r="E61" s="10" t="s">
        <v>102</v>
      </c>
    </row>
    <row r="62" customFormat="false" ht="15" hidden="false" customHeight="false" outlineLevel="0" collapsed="false">
      <c r="A62" s="6" t="s">
        <v>34</v>
      </c>
      <c r="B62" s="6" t="s">
        <v>128</v>
      </c>
      <c r="C62" s="6" t="s">
        <v>966</v>
      </c>
      <c r="D62" s="6" t="s">
        <v>967</v>
      </c>
      <c r="E62" s="11" t="s">
        <v>316</v>
      </c>
    </row>
    <row r="63" customFormat="false" ht="15" hidden="false" customHeight="false" outlineLevel="0" collapsed="false">
      <c r="A63" s="6" t="s">
        <v>34</v>
      </c>
      <c r="B63" s="6" t="s">
        <v>284</v>
      </c>
      <c r="C63" s="6" t="s">
        <v>941</v>
      </c>
      <c r="D63" s="6" t="s">
        <v>968</v>
      </c>
      <c r="E63" s="11" t="s">
        <v>316</v>
      </c>
    </row>
    <row r="64" customFormat="false" ht="15" hidden="false" customHeight="false" outlineLevel="0" collapsed="false">
      <c r="A64" s="6" t="s">
        <v>34</v>
      </c>
      <c r="B64" s="6" t="s">
        <v>284</v>
      </c>
      <c r="C64" s="6" t="s">
        <v>969</v>
      </c>
      <c r="D64" s="6" t="s">
        <v>970</v>
      </c>
      <c r="E64" s="11" t="s">
        <v>316</v>
      </c>
    </row>
    <row r="65" customFormat="false" ht="15" hidden="false" customHeight="false" outlineLevel="0" collapsed="false">
      <c r="A65" s="6" t="s">
        <v>34</v>
      </c>
      <c r="B65" s="6" t="s">
        <v>284</v>
      </c>
      <c r="C65" s="6" t="s">
        <v>971</v>
      </c>
      <c r="D65" s="6" t="s">
        <v>972</v>
      </c>
      <c r="E65" s="7" t="s">
        <v>41</v>
      </c>
    </row>
    <row r="66" customFormat="false" ht="15" hidden="false" customHeight="false" outlineLevel="0" collapsed="false">
      <c r="A66" s="6" t="s">
        <v>34</v>
      </c>
      <c r="B66" s="6" t="s">
        <v>284</v>
      </c>
      <c r="C66" s="6" t="s">
        <v>973</v>
      </c>
      <c r="D66" s="6" t="s">
        <v>974</v>
      </c>
      <c r="E66" s="10" t="s">
        <v>102</v>
      </c>
    </row>
    <row r="67" customFormat="false" ht="15" hidden="false" customHeight="false" outlineLevel="0" collapsed="false">
      <c r="A67" s="6" t="s">
        <v>34</v>
      </c>
      <c r="B67" s="6" t="s">
        <v>284</v>
      </c>
      <c r="C67" s="6" t="s">
        <v>975</v>
      </c>
      <c r="D67" s="6" t="s">
        <v>976</v>
      </c>
      <c r="E67" s="10" t="s">
        <v>102</v>
      </c>
    </row>
    <row r="68" customFormat="false" ht="15" hidden="false" customHeight="false" outlineLevel="0" collapsed="false">
      <c r="A68" s="6" t="s">
        <v>34</v>
      </c>
      <c r="B68" s="6" t="s">
        <v>312</v>
      </c>
      <c r="C68" s="6" t="s">
        <v>977</v>
      </c>
      <c r="D68" s="6" t="s">
        <v>978</v>
      </c>
      <c r="E68" s="11" t="s">
        <v>316</v>
      </c>
    </row>
    <row r="69" customFormat="false" ht="15" hidden="false" customHeight="false" outlineLevel="0" collapsed="false">
      <c r="A69" s="6" t="s">
        <v>34</v>
      </c>
      <c r="B69" s="6" t="s">
        <v>312</v>
      </c>
      <c r="C69" s="6" t="s">
        <v>979</v>
      </c>
      <c r="D69" s="6" t="s">
        <v>980</v>
      </c>
      <c r="E69" s="11" t="s">
        <v>316</v>
      </c>
    </row>
    <row r="70" customFormat="false" ht="15" hidden="false" customHeight="false" outlineLevel="0" collapsed="false">
      <c r="A70" s="6" t="s">
        <v>34</v>
      </c>
      <c r="B70" s="6" t="s">
        <v>312</v>
      </c>
      <c r="C70" s="6" t="s">
        <v>981</v>
      </c>
      <c r="D70" s="6" t="s">
        <v>982</v>
      </c>
      <c r="E70" s="11" t="s">
        <v>316</v>
      </c>
    </row>
    <row r="71" customFormat="false" ht="15" hidden="false" customHeight="false" outlineLevel="0" collapsed="false">
      <c r="A71" s="6" t="s">
        <v>34</v>
      </c>
      <c r="B71" s="6" t="s">
        <v>312</v>
      </c>
      <c r="C71" s="6" t="s">
        <v>983</v>
      </c>
      <c r="D71" s="6" t="s">
        <v>984</v>
      </c>
      <c r="E71" s="11" t="s">
        <v>316</v>
      </c>
    </row>
    <row r="72" customFormat="false" ht="15" hidden="false" customHeight="false" outlineLevel="0" collapsed="false">
      <c r="A72" s="6" t="s">
        <v>34</v>
      </c>
      <c r="B72" s="6" t="s">
        <v>319</v>
      </c>
      <c r="C72" s="6" t="s">
        <v>985</v>
      </c>
      <c r="D72" s="6" t="s">
        <v>986</v>
      </c>
      <c r="E72" s="11" t="s">
        <v>316</v>
      </c>
    </row>
    <row r="73" customFormat="false" ht="15" hidden="false" customHeight="false" outlineLevel="0" collapsed="false">
      <c r="A73" s="6" t="s">
        <v>34</v>
      </c>
      <c r="B73" s="6" t="s">
        <v>319</v>
      </c>
      <c r="C73" s="6" t="s">
        <v>987</v>
      </c>
      <c r="D73" s="6" t="s">
        <v>988</v>
      </c>
      <c r="E73" s="11" t="s">
        <v>316</v>
      </c>
    </row>
    <row r="74" customFormat="false" ht="15" hidden="false" customHeight="false" outlineLevel="0" collapsed="false">
      <c r="A74" s="6" t="s">
        <v>34</v>
      </c>
      <c r="B74" s="6" t="s">
        <v>319</v>
      </c>
      <c r="C74" s="6" t="s">
        <v>989</v>
      </c>
      <c r="D74" s="6" t="s">
        <v>990</v>
      </c>
      <c r="E74" s="11" t="s">
        <v>316</v>
      </c>
    </row>
    <row r="75" customFormat="false" ht="15" hidden="false" customHeight="false" outlineLevel="0" collapsed="false">
      <c r="A75" s="6" t="s">
        <v>34</v>
      </c>
      <c r="B75" s="6" t="s">
        <v>319</v>
      </c>
      <c r="C75" s="6" t="s">
        <v>991</v>
      </c>
      <c r="D75" s="6" t="s">
        <v>992</v>
      </c>
      <c r="E75" s="7" t="s">
        <v>41</v>
      </c>
    </row>
    <row r="76" customFormat="false" ht="15" hidden="false" customHeight="false" outlineLevel="0" collapsed="false">
      <c r="A76" s="6" t="s">
        <v>34</v>
      </c>
      <c r="B76" s="6" t="s">
        <v>337</v>
      </c>
      <c r="C76" s="6" t="s">
        <v>993</v>
      </c>
      <c r="D76" s="6" t="s">
        <v>994</v>
      </c>
      <c r="E76" s="7" t="s">
        <v>41</v>
      </c>
    </row>
    <row r="77" customFormat="false" ht="23.85" hidden="false" customHeight="false" outlineLevel="0" collapsed="false">
      <c r="A77" s="6" t="s">
        <v>34</v>
      </c>
      <c r="B77" s="6" t="s">
        <v>337</v>
      </c>
      <c r="C77" s="6" t="s">
        <v>995</v>
      </c>
      <c r="D77" s="6" t="s">
        <v>996</v>
      </c>
      <c r="E77" s="10" t="s">
        <v>102</v>
      </c>
    </row>
    <row r="78" customFormat="false" ht="15" hidden="false" customHeight="false" outlineLevel="0" collapsed="false">
      <c r="A78" s="6" t="s">
        <v>34</v>
      </c>
      <c r="B78" s="6" t="s">
        <v>337</v>
      </c>
      <c r="C78" s="6" t="s">
        <v>997</v>
      </c>
      <c r="D78" s="6" t="s">
        <v>998</v>
      </c>
      <c r="E78" s="11" t="s">
        <v>316</v>
      </c>
    </row>
    <row r="79" customFormat="false" ht="15" hidden="false" customHeight="false" outlineLevel="0" collapsed="false">
      <c r="A79" s="6" t="s">
        <v>34</v>
      </c>
      <c r="B79" s="6" t="s">
        <v>337</v>
      </c>
      <c r="C79" s="6" t="s">
        <v>999</v>
      </c>
      <c r="D79" s="6" t="s">
        <v>1000</v>
      </c>
      <c r="E79" s="10" t="s">
        <v>102</v>
      </c>
    </row>
    <row r="80" customFormat="false" ht="15" hidden="false" customHeight="false" outlineLevel="0" collapsed="false">
      <c r="A80" s="6" t="s">
        <v>34</v>
      </c>
      <c r="B80" s="6" t="s">
        <v>337</v>
      </c>
      <c r="C80" s="6" t="s">
        <v>1001</v>
      </c>
      <c r="D80" s="6" t="s">
        <v>1002</v>
      </c>
      <c r="E80" s="7" t="s">
        <v>41</v>
      </c>
    </row>
    <row r="81" customFormat="false" ht="15" hidden="false" customHeight="false" outlineLevel="0" collapsed="false">
      <c r="A81" s="6" t="s">
        <v>34</v>
      </c>
      <c r="B81" s="6" t="s">
        <v>352</v>
      </c>
      <c r="C81" s="6" t="s">
        <v>1003</v>
      </c>
      <c r="D81" s="6" t="s">
        <v>1004</v>
      </c>
      <c r="E81" s="11" t="s">
        <v>316</v>
      </c>
    </row>
    <row r="82" customFormat="false" ht="15" hidden="false" customHeight="false" outlineLevel="0" collapsed="false">
      <c r="A82" s="6" t="s">
        <v>34</v>
      </c>
      <c r="B82" s="6" t="s">
        <v>352</v>
      </c>
      <c r="C82" s="6" t="s">
        <v>1005</v>
      </c>
      <c r="D82" s="6" t="s">
        <v>1006</v>
      </c>
      <c r="E82" s="11" t="s">
        <v>316</v>
      </c>
    </row>
    <row r="83" customFormat="false" ht="15" hidden="false" customHeight="false" outlineLevel="0" collapsed="false">
      <c r="A83" s="6" t="s">
        <v>34</v>
      </c>
      <c r="B83" s="6" t="s">
        <v>352</v>
      </c>
      <c r="C83" s="6" t="s">
        <v>1007</v>
      </c>
      <c r="D83" s="6" t="s">
        <v>1008</v>
      </c>
      <c r="E83" s="11" t="s">
        <v>316</v>
      </c>
    </row>
    <row r="84" customFormat="false" ht="15" hidden="false" customHeight="false" outlineLevel="0" collapsed="false">
      <c r="A84" s="6" t="s">
        <v>34</v>
      </c>
      <c r="B84" s="6" t="s">
        <v>352</v>
      </c>
      <c r="C84" s="6" t="s">
        <v>1009</v>
      </c>
      <c r="D84" s="6" t="s">
        <v>1010</v>
      </c>
      <c r="E84" s="11" t="s">
        <v>316</v>
      </c>
    </row>
    <row r="85" customFormat="false" ht="23.85" hidden="false" customHeight="false" outlineLevel="0" collapsed="false">
      <c r="A85" s="6" t="s">
        <v>34</v>
      </c>
      <c r="B85" s="6" t="s">
        <v>358</v>
      </c>
      <c r="C85" s="6" t="s">
        <v>1011</v>
      </c>
      <c r="D85" s="6" t="s">
        <v>1012</v>
      </c>
      <c r="E85" s="11" t="s">
        <v>316</v>
      </c>
    </row>
    <row r="86" customFormat="false" ht="23.85" hidden="false" customHeight="false" outlineLevel="0" collapsed="false">
      <c r="A86" s="6" t="s">
        <v>34</v>
      </c>
      <c r="B86" s="6" t="s">
        <v>358</v>
      </c>
      <c r="C86" s="6" t="s">
        <v>1013</v>
      </c>
      <c r="D86" s="6" t="s">
        <v>1014</v>
      </c>
      <c r="E86" s="11" t="s">
        <v>316</v>
      </c>
    </row>
    <row r="87" customFormat="false" ht="23.85" hidden="false" customHeight="false" outlineLevel="0" collapsed="false">
      <c r="A87" s="6" t="s">
        <v>34</v>
      </c>
      <c r="B87" s="6" t="s">
        <v>358</v>
      </c>
      <c r="C87" s="6" t="s">
        <v>1015</v>
      </c>
      <c r="D87" s="6" t="s">
        <v>1016</v>
      </c>
      <c r="E87" s="11" t="s">
        <v>316</v>
      </c>
    </row>
    <row r="88" customFormat="false" ht="35.05" hidden="false" customHeight="false" outlineLevel="0" collapsed="false">
      <c r="A88" s="6" t="s">
        <v>34</v>
      </c>
      <c r="B88" s="6" t="s">
        <v>358</v>
      </c>
      <c r="C88" s="6" t="s">
        <v>1017</v>
      </c>
      <c r="D88" s="6" t="s">
        <v>1018</v>
      </c>
      <c r="E88" s="7" t="s">
        <v>41</v>
      </c>
    </row>
    <row r="89" customFormat="false" ht="23.85" hidden="false" customHeight="false" outlineLevel="0" collapsed="false">
      <c r="A89" s="6" t="s">
        <v>34</v>
      </c>
      <c r="B89" s="6" t="s">
        <v>358</v>
      </c>
      <c r="C89" s="6" t="s">
        <v>1019</v>
      </c>
      <c r="D89" s="6" t="s">
        <v>1020</v>
      </c>
      <c r="E89" s="10" t="s">
        <v>102</v>
      </c>
    </row>
    <row r="90" customFormat="false" ht="23.85" hidden="false" customHeight="false" outlineLevel="0" collapsed="false">
      <c r="A90" s="6" t="s">
        <v>34</v>
      </c>
      <c r="B90" s="6" t="s">
        <v>377</v>
      </c>
      <c r="C90" s="6" t="s">
        <v>1021</v>
      </c>
      <c r="D90" s="6" t="s">
        <v>1022</v>
      </c>
      <c r="E90" s="11" t="s">
        <v>316</v>
      </c>
    </row>
    <row r="91" customFormat="false" ht="23.85" hidden="false" customHeight="false" outlineLevel="0" collapsed="false">
      <c r="A91" s="6" t="s">
        <v>34</v>
      </c>
      <c r="B91" s="6" t="s">
        <v>377</v>
      </c>
      <c r="C91" s="6" t="s">
        <v>1023</v>
      </c>
      <c r="D91" s="6" t="s">
        <v>1024</v>
      </c>
      <c r="E91" s="11" t="s">
        <v>316</v>
      </c>
    </row>
    <row r="92" customFormat="false" ht="23.85" hidden="false" customHeight="false" outlineLevel="0" collapsed="false">
      <c r="A92" s="6" t="s">
        <v>34</v>
      </c>
      <c r="B92" s="6" t="s">
        <v>377</v>
      </c>
      <c r="C92" s="6" t="s">
        <v>1025</v>
      </c>
      <c r="D92" s="6" t="s">
        <v>1026</v>
      </c>
      <c r="E92" s="7" t="s">
        <v>41</v>
      </c>
    </row>
    <row r="93" customFormat="false" ht="23.85" hidden="false" customHeight="false" outlineLevel="0" collapsed="false">
      <c r="A93" s="6" t="s">
        <v>34</v>
      </c>
      <c r="B93" s="6" t="s">
        <v>377</v>
      </c>
      <c r="C93" s="6" t="s">
        <v>1027</v>
      </c>
      <c r="D93" s="6" t="s">
        <v>1028</v>
      </c>
      <c r="E93" s="10" t="s">
        <v>102</v>
      </c>
    </row>
    <row r="94" customFormat="false" ht="23.85" hidden="false" customHeight="false" outlineLevel="0" collapsed="false">
      <c r="A94" s="6" t="s">
        <v>34</v>
      </c>
      <c r="B94" s="6" t="s">
        <v>377</v>
      </c>
      <c r="C94" s="6" t="s">
        <v>1029</v>
      </c>
      <c r="D94" s="6" t="s">
        <v>1030</v>
      </c>
      <c r="E94" s="10" t="s">
        <v>102</v>
      </c>
    </row>
    <row r="95" customFormat="false" ht="15" hidden="false" customHeight="false" outlineLevel="0" collapsed="false">
      <c r="A95" s="6" t="s">
        <v>34</v>
      </c>
      <c r="B95" s="6" t="s">
        <v>411</v>
      </c>
      <c r="C95" s="6" t="s">
        <v>1031</v>
      </c>
      <c r="D95" s="6" t="s">
        <v>1032</v>
      </c>
      <c r="E95" s="11" t="s">
        <v>316</v>
      </c>
    </row>
    <row r="96" customFormat="false" ht="23.85" hidden="false" customHeight="false" outlineLevel="0" collapsed="false">
      <c r="A96" s="6" t="s">
        <v>34</v>
      </c>
      <c r="B96" s="6" t="s">
        <v>411</v>
      </c>
      <c r="C96" s="6" t="s">
        <v>1033</v>
      </c>
      <c r="D96" s="6" t="s">
        <v>1034</v>
      </c>
      <c r="E96" s="11" t="s">
        <v>316</v>
      </c>
    </row>
    <row r="97" customFormat="false" ht="23.85" hidden="false" customHeight="false" outlineLevel="0" collapsed="false">
      <c r="A97" s="6" t="s">
        <v>34</v>
      </c>
      <c r="B97" s="6" t="s">
        <v>411</v>
      </c>
      <c r="C97" s="6" t="s">
        <v>1035</v>
      </c>
      <c r="D97" s="6" t="s">
        <v>1036</v>
      </c>
      <c r="E97" s="7" t="s">
        <v>41</v>
      </c>
    </row>
    <row r="98" customFormat="false" ht="15" hidden="false" customHeight="false" outlineLevel="0" collapsed="false">
      <c r="A98" s="6" t="s">
        <v>34</v>
      </c>
      <c r="B98" s="6" t="s">
        <v>411</v>
      </c>
      <c r="C98" s="6" t="s">
        <v>1037</v>
      </c>
      <c r="D98" s="6" t="s">
        <v>1038</v>
      </c>
      <c r="E98" s="10" t="s">
        <v>102</v>
      </c>
    </row>
    <row r="99" customFormat="false" ht="15" hidden="false" customHeight="false" outlineLevel="0" collapsed="false">
      <c r="A99" s="6" t="s">
        <v>34</v>
      </c>
      <c r="B99" s="6" t="s">
        <v>411</v>
      </c>
      <c r="C99" s="6" t="s">
        <v>1039</v>
      </c>
      <c r="D99" s="6" t="s">
        <v>1040</v>
      </c>
      <c r="E99" s="10" t="s">
        <v>102</v>
      </c>
    </row>
    <row r="100" customFormat="false" ht="23.85" hidden="false" customHeight="false" outlineLevel="0" collapsed="false">
      <c r="A100" s="6" t="s">
        <v>34</v>
      </c>
      <c r="B100" s="6" t="s">
        <v>430</v>
      </c>
      <c r="C100" s="6" t="s">
        <v>1041</v>
      </c>
      <c r="D100" s="6" t="s">
        <v>1042</v>
      </c>
      <c r="E100" s="11" t="s">
        <v>316</v>
      </c>
    </row>
    <row r="101" customFormat="false" ht="15" hidden="false" customHeight="false" outlineLevel="0" collapsed="false">
      <c r="A101" s="6" t="s">
        <v>34</v>
      </c>
      <c r="B101" s="6" t="s">
        <v>430</v>
      </c>
      <c r="C101" s="6" t="s">
        <v>1043</v>
      </c>
      <c r="D101" s="6" t="s">
        <v>1044</v>
      </c>
      <c r="E101" s="11" t="s">
        <v>316</v>
      </c>
    </row>
    <row r="102" customFormat="false" ht="23.85" hidden="false" customHeight="false" outlineLevel="0" collapsed="false">
      <c r="A102" s="6" t="s">
        <v>34</v>
      </c>
      <c r="B102" s="6" t="s">
        <v>430</v>
      </c>
      <c r="C102" s="6" t="s">
        <v>1045</v>
      </c>
      <c r="D102" s="6" t="s">
        <v>1046</v>
      </c>
      <c r="E102" s="10" t="s">
        <v>102</v>
      </c>
    </row>
    <row r="103" customFormat="false" ht="23.85" hidden="false" customHeight="false" outlineLevel="0" collapsed="false">
      <c r="A103" s="6" t="s">
        <v>34</v>
      </c>
      <c r="B103" s="6" t="s">
        <v>430</v>
      </c>
      <c r="C103" s="6" t="s">
        <v>1047</v>
      </c>
      <c r="D103" s="6" t="s">
        <v>1048</v>
      </c>
      <c r="E103" s="10" t="s">
        <v>102</v>
      </c>
    </row>
    <row r="104" customFormat="false" ht="23.85" hidden="false" customHeight="false" outlineLevel="0" collapsed="false">
      <c r="A104" s="6" t="s">
        <v>34</v>
      </c>
      <c r="B104" s="6" t="s">
        <v>430</v>
      </c>
      <c r="C104" s="6" t="s">
        <v>1049</v>
      </c>
      <c r="D104" s="6" t="s">
        <v>1050</v>
      </c>
      <c r="E104" s="10" t="s">
        <v>102</v>
      </c>
    </row>
    <row r="105" customFormat="false" ht="23.85" hidden="false" customHeight="false" outlineLevel="0" collapsed="false">
      <c r="A105" s="6" t="s">
        <v>34</v>
      </c>
      <c r="B105" s="6" t="s">
        <v>445</v>
      </c>
      <c r="C105" s="6" t="s">
        <v>1051</v>
      </c>
      <c r="D105" s="6" t="s">
        <v>1052</v>
      </c>
      <c r="E105" s="11" t="s">
        <v>316</v>
      </c>
    </row>
    <row r="106" customFormat="false" ht="15" hidden="false" customHeight="false" outlineLevel="0" collapsed="false">
      <c r="A106" s="6" t="s">
        <v>34</v>
      </c>
      <c r="B106" s="6" t="s">
        <v>445</v>
      </c>
      <c r="C106" s="6" t="s">
        <v>941</v>
      </c>
      <c r="D106" s="6" t="s">
        <v>1053</v>
      </c>
      <c r="E106" s="11" t="s">
        <v>316</v>
      </c>
    </row>
    <row r="107" customFormat="false" ht="23.85" hidden="false" customHeight="false" outlineLevel="0" collapsed="false">
      <c r="A107" s="6" t="s">
        <v>34</v>
      </c>
      <c r="B107" s="6" t="s">
        <v>445</v>
      </c>
      <c r="C107" s="6" t="s">
        <v>1054</v>
      </c>
      <c r="D107" s="6" t="s">
        <v>1055</v>
      </c>
      <c r="E107" s="10" t="s">
        <v>102</v>
      </c>
    </row>
    <row r="108" customFormat="false" ht="15" hidden="false" customHeight="false" outlineLevel="0" collapsed="false">
      <c r="A108" s="6" t="s">
        <v>34</v>
      </c>
      <c r="B108" s="6" t="s">
        <v>445</v>
      </c>
      <c r="C108" s="6" t="s">
        <v>1056</v>
      </c>
      <c r="D108" s="6" t="s">
        <v>1057</v>
      </c>
      <c r="E108" s="10" t="s">
        <v>102</v>
      </c>
    </row>
    <row r="109" customFormat="false" ht="15" hidden="false" customHeight="false" outlineLevel="0" collapsed="false">
      <c r="A109" s="6" t="s">
        <v>34</v>
      </c>
      <c r="B109" s="6" t="s">
        <v>445</v>
      </c>
      <c r="C109" s="6" t="s">
        <v>1058</v>
      </c>
      <c r="D109" s="6" t="s">
        <v>1059</v>
      </c>
      <c r="E109" s="10" t="s">
        <v>102</v>
      </c>
    </row>
    <row r="110" customFormat="false" ht="23.85" hidden="false" customHeight="false" outlineLevel="0" collapsed="false">
      <c r="A110" s="6" t="s">
        <v>34</v>
      </c>
      <c r="B110" s="6" t="s">
        <v>456</v>
      </c>
      <c r="C110" s="6" t="s">
        <v>1060</v>
      </c>
      <c r="D110" s="6" t="s">
        <v>1061</v>
      </c>
      <c r="E110" s="7" t="s">
        <v>41</v>
      </c>
    </row>
    <row r="111" customFormat="false" ht="15" hidden="false" customHeight="false" outlineLevel="0" collapsed="false">
      <c r="A111" s="6" t="s">
        <v>34</v>
      </c>
      <c r="B111" s="6" t="s">
        <v>456</v>
      </c>
      <c r="C111" s="6" t="s">
        <v>1062</v>
      </c>
      <c r="D111" s="6" t="s">
        <v>1063</v>
      </c>
      <c r="E111" s="7" t="s">
        <v>41</v>
      </c>
    </row>
    <row r="112" customFormat="false" ht="23.85" hidden="false" customHeight="false" outlineLevel="0" collapsed="false">
      <c r="A112" s="6" t="s">
        <v>34</v>
      </c>
      <c r="B112" s="6" t="s">
        <v>456</v>
      </c>
      <c r="C112" s="6" t="s">
        <v>879</v>
      </c>
      <c r="D112" s="6" t="s">
        <v>1064</v>
      </c>
      <c r="E112" s="10" t="s">
        <v>102</v>
      </c>
    </row>
    <row r="113" customFormat="false" ht="23.85" hidden="false" customHeight="false" outlineLevel="0" collapsed="false">
      <c r="A113" s="6" t="s">
        <v>34</v>
      </c>
      <c r="B113" s="6" t="s">
        <v>456</v>
      </c>
      <c r="C113" s="6" t="s">
        <v>1065</v>
      </c>
      <c r="D113" s="6" t="s">
        <v>1066</v>
      </c>
      <c r="E113" s="10" t="s">
        <v>102</v>
      </c>
    </row>
    <row r="114" customFormat="false" ht="15" hidden="false" customHeight="false" outlineLevel="0" collapsed="false">
      <c r="A114" s="6" t="s">
        <v>34</v>
      </c>
      <c r="B114" s="6" t="s">
        <v>456</v>
      </c>
      <c r="C114" s="6" t="s">
        <v>1067</v>
      </c>
      <c r="D114" s="6" t="s">
        <v>1068</v>
      </c>
      <c r="E114" s="10" t="s">
        <v>102</v>
      </c>
    </row>
    <row r="115" customFormat="false" ht="23.85" hidden="false" customHeight="false" outlineLevel="0" collapsed="false">
      <c r="A115" s="6" t="s">
        <v>483</v>
      </c>
      <c r="B115" s="6" t="s">
        <v>483</v>
      </c>
      <c r="C115" s="6" t="s">
        <v>1069</v>
      </c>
      <c r="D115" s="6" t="s">
        <v>1070</v>
      </c>
      <c r="E115" s="10" t="s">
        <v>102</v>
      </c>
    </row>
    <row r="116" customFormat="false" ht="15" hidden="false" customHeight="false" outlineLevel="0" collapsed="false">
      <c r="A116" s="6" t="s">
        <v>483</v>
      </c>
      <c r="B116" s="6" t="s">
        <v>483</v>
      </c>
      <c r="C116" s="6" t="s">
        <v>1071</v>
      </c>
      <c r="D116" s="6" t="s">
        <v>1072</v>
      </c>
      <c r="E116" s="10" t="s">
        <v>102</v>
      </c>
    </row>
    <row r="117" customFormat="false" ht="23.85" hidden="false" customHeight="false" outlineLevel="0" collapsed="false">
      <c r="A117" s="6" t="s">
        <v>483</v>
      </c>
      <c r="B117" s="6" t="s">
        <v>483</v>
      </c>
      <c r="C117" s="6" t="s">
        <v>1073</v>
      </c>
      <c r="D117" s="6" t="s">
        <v>1074</v>
      </c>
      <c r="E117" s="10" t="s">
        <v>102</v>
      </c>
    </row>
    <row r="118" customFormat="false" ht="23.85" hidden="false" customHeight="false" outlineLevel="0" collapsed="false">
      <c r="A118" s="6" t="s">
        <v>483</v>
      </c>
      <c r="B118" s="6" t="s">
        <v>483</v>
      </c>
      <c r="C118" s="6" t="s">
        <v>1075</v>
      </c>
      <c r="D118" s="6" t="s">
        <v>1076</v>
      </c>
      <c r="E118" s="10" t="s">
        <v>102</v>
      </c>
    </row>
    <row r="119" customFormat="false" ht="23.85" hidden="false" customHeight="false" outlineLevel="0" collapsed="false">
      <c r="A119" s="6" t="s">
        <v>483</v>
      </c>
      <c r="B119" s="6" t="s">
        <v>483</v>
      </c>
      <c r="C119" s="6" t="s">
        <v>1077</v>
      </c>
      <c r="D119" s="6" t="s">
        <v>1078</v>
      </c>
      <c r="E119" s="11" t="s">
        <v>316</v>
      </c>
    </row>
    <row r="120" customFormat="false" ht="23.85" hidden="false" customHeight="false" outlineLevel="0" collapsed="false">
      <c r="A120" s="6" t="s">
        <v>514</v>
      </c>
      <c r="B120" s="6" t="s">
        <v>514</v>
      </c>
      <c r="C120" s="6" t="s">
        <v>1079</v>
      </c>
      <c r="D120" s="6" t="s">
        <v>1080</v>
      </c>
      <c r="E120" s="7" t="s">
        <v>41</v>
      </c>
    </row>
    <row r="121" customFormat="false" ht="23.85" hidden="false" customHeight="false" outlineLevel="0" collapsed="false">
      <c r="A121" s="6" t="s">
        <v>514</v>
      </c>
      <c r="B121" s="6" t="s">
        <v>514</v>
      </c>
      <c r="C121" s="6" t="s">
        <v>1081</v>
      </c>
      <c r="D121" s="6" t="s">
        <v>1082</v>
      </c>
      <c r="E121" s="7" t="s">
        <v>41</v>
      </c>
    </row>
    <row r="122" customFormat="false" ht="15" hidden="false" customHeight="false" outlineLevel="0" collapsed="false">
      <c r="A122" s="6" t="s">
        <v>514</v>
      </c>
      <c r="B122" s="6" t="s">
        <v>514</v>
      </c>
      <c r="C122" s="6" t="s">
        <v>1083</v>
      </c>
      <c r="D122" s="6" t="s">
        <v>1084</v>
      </c>
      <c r="E122" s="11" t="s">
        <v>316</v>
      </c>
    </row>
    <row r="123" customFormat="false" ht="23.85" hidden="false" customHeight="false" outlineLevel="0" collapsed="false">
      <c r="A123" s="6" t="s">
        <v>514</v>
      </c>
      <c r="B123" s="6" t="s">
        <v>514</v>
      </c>
      <c r="C123" s="6" t="s">
        <v>1085</v>
      </c>
      <c r="D123" s="6" t="s">
        <v>1086</v>
      </c>
      <c r="E123" s="11" t="s">
        <v>316</v>
      </c>
    </row>
    <row r="124" customFormat="false" ht="15" hidden="false" customHeight="false" outlineLevel="0" collapsed="false">
      <c r="A124" s="6" t="s">
        <v>514</v>
      </c>
      <c r="B124" s="6" t="s">
        <v>514</v>
      </c>
      <c r="C124" s="6" t="s">
        <v>1087</v>
      </c>
      <c r="D124" s="6" t="s">
        <v>1088</v>
      </c>
      <c r="E124" s="11" t="s">
        <v>316</v>
      </c>
    </row>
    <row r="125" customFormat="false" ht="23.85" hidden="false" customHeight="false" outlineLevel="0" collapsed="false">
      <c r="A125" s="6" t="s">
        <v>526</v>
      </c>
      <c r="B125" s="6" t="s">
        <v>527</v>
      </c>
      <c r="C125" s="6" t="s">
        <v>1089</v>
      </c>
      <c r="D125" s="6" t="s">
        <v>1090</v>
      </c>
      <c r="E125" s="11" t="s">
        <v>316</v>
      </c>
    </row>
    <row r="126" customFormat="false" ht="23.85" hidden="false" customHeight="false" outlineLevel="0" collapsed="false">
      <c r="A126" s="6" t="s">
        <v>526</v>
      </c>
      <c r="B126" s="6" t="s">
        <v>527</v>
      </c>
      <c r="C126" s="6" t="s">
        <v>1091</v>
      </c>
      <c r="D126" s="6" t="s">
        <v>1092</v>
      </c>
      <c r="E126" s="7" t="s">
        <v>41</v>
      </c>
    </row>
    <row r="127" customFormat="false" ht="23.85" hidden="false" customHeight="false" outlineLevel="0" collapsed="false">
      <c r="A127" s="6" t="s">
        <v>526</v>
      </c>
      <c r="B127" s="6" t="s">
        <v>527</v>
      </c>
      <c r="C127" s="6" t="s">
        <v>1093</v>
      </c>
      <c r="D127" s="6" t="s">
        <v>1094</v>
      </c>
      <c r="E127" s="7" t="s">
        <v>41</v>
      </c>
    </row>
    <row r="128" customFormat="false" ht="23.85" hidden="false" customHeight="false" outlineLevel="0" collapsed="false">
      <c r="A128" s="6" t="s">
        <v>526</v>
      </c>
      <c r="B128" s="6" t="s">
        <v>527</v>
      </c>
      <c r="C128" s="6" t="s">
        <v>879</v>
      </c>
      <c r="D128" s="6" t="s">
        <v>1095</v>
      </c>
      <c r="E128" s="10" t="s">
        <v>102</v>
      </c>
    </row>
    <row r="129" customFormat="false" ht="23.85" hidden="false" customHeight="false" outlineLevel="0" collapsed="false">
      <c r="A129" s="6" t="s">
        <v>526</v>
      </c>
      <c r="B129" s="6" t="s">
        <v>527</v>
      </c>
      <c r="C129" s="6" t="s">
        <v>1096</v>
      </c>
      <c r="D129" s="6" t="s">
        <v>1097</v>
      </c>
      <c r="E129" s="10" t="s">
        <v>102</v>
      </c>
    </row>
    <row r="130" customFormat="false" ht="23.85" hidden="false" customHeight="false" outlineLevel="0" collapsed="false">
      <c r="A130" s="6" t="s">
        <v>526</v>
      </c>
      <c r="B130" s="6" t="s">
        <v>539</v>
      </c>
      <c r="C130" s="6" t="s">
        <v>1098</v>
      </c>
      <c r="D130" s="6" t="s">
        <v>1099</v>
      </c>
      <c r="E130" s="11" t="s">
        <v>316</v>
      </c>
    </row>
    <row r="131" customFormat="false" ht="23.85" hidden="false" customHeight="false" outlineLevel="0" collapsed="false">
      <c r="A131" s="6" t="s">
        <v>526</v>
      </c>
      <c r="B131" s="6" t="s">
        <v>539</v>
      </c>
      <c r="C131" s="6" t="s">
        <v>1100</v>
      </c>
      <c r="D131" s="6" t="s">
        <v>1101</v>
      </c>
      <c r="E131" s="11" t="s">
        <v>316</v>
      </c>
    </row>
    <row r="132" customFormat="false" ht="23.85" hidden="false" customHeight="false" outlineLevel="0" collapsed="false">
      <c r="A132" s="6" t="s">
        <v>526</v>
      </c>
      <c r="B132" s="6" t="s">
        <v>539</v>
      </c>
      <c r="C132" s="6" t="s">
        <v>1102</v>
      </c>
      <c r="D132" s="6" t="s">
        <v>1103</v>
      </c>
      <c r="E132" s="11" t="s">
        <v>316</v>
      </c>
    </row>
    <row r="133" customFormat="false" ht="23.85" hidden="false" customHeight="false" outlineLevel="0" collapsed="false">
      <c r="A133" s="6" t="s">
        <v>526</v>
      </c>
      <c r="B133" s="6" t="s">
        <v>539</v>
      </c>
      <c r="C133" s="6" t="s">
        <v>1104</v>
      </c>
      <c r="D133" s="6" t="s">
        <v>1105</v>
      </c>
      <c r="E133" s="11" t="s">
        <v>316</v>
      </c>
    </row>
    <row r="134" customFormat="false" ht="23.85" hidden="false" customHeight="false" outlineLevel="0" collapsed="false">
      <c r="A134" s="6" t="s">
        <v>526</v>
      </c>
      <c r="B134" s="6" t="s">
        <v>539</v>
      </c>
      <c r="C134" s="6" t="s">
        <v>1106</v>
      </c>
      <c r="D134" s="6" t="s">
        <v>1107</v>
      </c>
      <c r="E134" s="11" t="s">
        <v>316</v>
      </c>
    </row>
    <row r="135" customFormat="false" ht="23.85" hidden="false" customHeight="false" outlineLevel="0" collapsed="false">
      <c r="A135" s="6" t="s">
        <v>526</v>
      </c>
      <c r="B135" s="6" t="s">
        <v>562</v>
      </c>
      <c r="C135" s="6" t="s">
        <v>1108</v>
      </c>
      <c r="D135" s="6" t="s">
        <v>1109</v>
      </c>
      <c r="E135" s="11" t="s">
        <v>316</v>
      </c>
    </row>
    <row r="136" customFormat="false" ht="23.85" hidden="false" customHeight="false" outlineLevel="0" collapsed="false">
      <c r="A136" s="6" t="s">
        <v>526</v>
      </c>
      <c r="B136" s="6" t="s">
        <v>562</v>
      </c>
      <c r="C136" s="6" t="s">
        <v>1110</v>
      </c>
      <c r="D136" s="6" t="s">
        <v>1111</v>
      </c>
      <c r="E136" s="7" t="s">
        <v>41</v>
      </c>
    </row>
    <row r="137" customFormat="false" ht="23.85" hidden="false" customHeight="false" outlineLevel="0" collapsed="false">
      <c r="A137" s="6" t="s">
        <v>526</v>
      </c>
      <c r="B137" s="6" t="s">
        <v>562</v>
      </c>
      <c r="C137" s="6" t="s">
        <v>1112</v>
      </c>
      <c r="D137" s="6" t="s">
        <v>1113</v>
      </c>
      <c r="E137" s="7" t="s">
        <v>41</v>
      </c>
    </row>
    <row r="138" customFormat="false" ht="23.85" hidden="false" customHeight="false" outlineLevel="0" collapsed="false">
      <c r="A138" s="6" t="s">
        <v>526</v>
      </c>
      <c r="B138" s="6" t="s">
        <v>562</v>
      </c>
      <c r="C138" s="6" t="s">
        <v>1114</v>
      </c>
      <c r="D138" s="6" t="s">
        <v>1115</v>
      </c>
      <c r="E138" s="7" t="s">
        <v>41</v>
      </c>
    </row>
    <row r="139" customFormat="false" ht="23.85" hidden="false" customHeight="false" outlineLevel="0" collapsed="false">
      <c r="A139" s="6" t="s">
        <v>526</v>
      </c>
      <c r="B139" s="6" t="s">
        <v>562</v>
      </c>
      <c r="C139" s="6" t="s">
        <v>1116</v>
      </c>
      <c r="D139" s="6" t="s">
        <v>1117</v>
      </c>
      <c r="E139" s="10" t="s">
        <v>102</v>
      </c>
    </row>
    <row r="140" customFormat="false" ht="23.85" hidden="false" customHeight="false" outlineLevel="0" collapsed="false">
      <c r="A140" s="6" t="s">
        <v>526</v>
      </c>
      <c r="B140" s="6" t="s">
        <v>562</v>
      </c>
      <c r="C140" s="6" t="s">
        <v>1118</v>
      </c>
      <c r="D140" s="6" t="s">
        <v>1119</v>
      </c>
      <c r="E140" s="10" t="s">
        <v>102</v>
      </c>
    </row>
    <row r="141" customFormat="false" ht="23.85" hidden="false" customHeight="false" outlineLevel="0" collapsed="false">
      <c r="A141" s="6" t="s">
        <v>526</v>
      </c>
      <c r="B141" s="6" t="s">
        <v>613</v>
      </c>
      <c r="C141" s="6" t="s">
        <v>1120</v>
      </c>
      <c r="D141" s="6" t="s">
        <v>1121</v>
      </c>
      <c r="E141" s="11" t="s">
        <v>316</v>
      </c>
    </row>
    <row r="142" customFormat="false" ht="23.85" hidden="false" customHeight="false" outlineLevel="0" collapsed="false">
      <c r="A142" s="6" t="s">
        <v>526</v>
      </c>
      <c r="B142" s="6" t="s">
        <v>613</v>
      </c>
      <c r="C142" s="6" t="s">
        <v>1122</v>
      </c>
      <c r="D142" s="6" t="s">
        <v>1123</v>
      </c>
      <c r="E142" s="11" t="s">
        <v>316</v>
      </c>
    </row>
    <row r="143" customFormat="false" ht="23.85" hidden="false" customHeight="false" outlineLevel="0" collapsed="false">
      <c r="A143" s="6" t="s">
        <v>526</v>
      </c>
      <c r="B143" s="6" t="s">
        <v>613</v>
      </c>
      <c r="C143" s="6" t="s">
        <v>1124</v>
      </c>
      <c r="D143" s="6" t="s">
        <v>1125</v>
      </c>
      <c r="E143" s="7" t="s">
        <v>41</v>
      </c>
    </row>
    <row r="144" customFormat="false" ht="23.85" hidden="false" customHeight="false" outlineLevel="0" collapsed="false">
      <c r="A144" s="6" t="s">
        <v>526</v>
      </c>
      <c r="B144" s="6" t="s">
        <v>613</v>
      </c>
      <c r="C144" s="6" t="s">
        <v>1126</v>
      </c>
      <c r="D144" s="6" t="s">
        <v>1127</v>
      </c>
      <c r="E144" s="7" t="s">
        <v>41</v>
      </c>
    </row>
    <row r="145" customFormat="false" ht="23.85" hidden="false" customHeight="false" outlineLevel="0" collapsed="false">
      <c r="A145" s="6" t="s">
        <v>526</v>
      </c>
      <c r="B145" s="6" t="s">
        <v>613</v>
      </c>
      <c r="C145" s="6" t="s">
        <v>1128</v>
      </c>
      <c r="D145" s="6" t="s">
        <v>1129</v>
      </c>
      <c r="E145" s="10" t="s">
        <v>102</v>
      </c>
    </row>
    <row r="146" customFormat="false" ht="23.85" hidden="false" customHeight="false" outlineLevel="0" collapsed="false">
      <c r="A146" s="6" t="s">
        <v>526</v>
      </c>
      <c r="B146" s="6" t="s">
        <v>628</v>
      </c>
      <c r="C146" s="6" t="s">
        <v>1130</v>
      </c>
      <c r="D146" s="6" t="s">
        <v>1131</v>
      </c>
      <c r="E146" s="7" t="s">
        <v>41</v>
      </c>
    </row>
    <row r="147" customFormat="false" ht="23.85" hidden="false" customHeight="false" outlineLevel="0" collapsed="false">
      <c r="A147" s="6" t="s">
        <v>526</v>
      </c>
      <c r="B147" s="6" t="s">
        <v>628</v>
      </c>
      <c r="C147" s="6" t="s">
        <v>1132</v>
      </c>
      <c r="D147" s="6" t="s">
        <v>1133</v>
      </c>
      <c r="E147" s="10" t="s">
        <v>102</v>
      </c>
    </row>
    <row r="148" customFormat="false" ht="23.85" hidden="false" customHeight="false" outlineLevel="0" collapsed="false">
      <c r="A148" s="6" t="s">
        <v>526</v>
      </c>
      <c r="B148" s="6" t="s">
        <v>628</v>
      </c>
      <c r="C148" s="6" t="s">
        <v>1134</v>
      </c>
      <c r="D148" s="6" t="s">
        <v>1135</v>
      </c>
      <c r="E148" s="7" t="s">
        <v>41</v>
      </c>
    </row>
    <row r="149" customFormat="false" ht="23.85" hidden="false" customHeight="false" outlineLevel="0" collapsed="false">
      <c r="A149" s="6" t="s">
        <v>526</v>
      </c>
      <c r="B149" s="6" t="s">
        <v>628</v>
      </c>
      <c r="C149" s="6" t="s">
        <v>1136</v>
      </c>
      <c r="D149" s="6" t="s">
        <v>1137</v>
      </c>
      <c r="E149" s="10" t="s">
        <v>102</v>
      </c>
    </row>
    <row r="150" customFormat="false" ht="23.85" hidden="false" customHeight="false" outlineLevel="0" collapsed="false">
      <c r="A150" s="6" t="s">
        <v>526</v>
      </c>
      <c r="B150" s="6" t="s">
        <v>642</v>
      </c>
      <c r="C150" s="6" t="s">
        <v>1138</v>
      </c>
      <c r="D150" s="6" t="s">
        <v>1139</v>
      </c>
      <c r="E150" s="11" t="s">
        <v>316</v>
      </c>
    </row>
    <row r="151" customFormat="false" ht="23.85" hidden="false" customHeight="false" outlineLevel="0" collapsed="false">
      <c r="A151" s="6" t="s">
        <v>526</v>
      </c>
      <c r="B151" s="6" t="s">
        <v>642</v>
      </c>
      <c r="C151" s="6" t="s">
        <v>1140</v>
      </c>
      <c r="D151" s="6" t="s">
        <v>1141</v>
      </c>
      <c r="E151" s="10" t="s">
        <v>102</v>
      </c>
    </row>
    <row r="152" customFormat="false" ht="23.85" hidden="false" customHeight="false" outlineLevel="0" collapsed="false">
      <c r="A152" s="6" t="s">
        <v>526</v>
      </c>
      <c r="B152" s="6" t="s">
        <v>642</v>
      </c>
      <c r="C152" s="6" t="s">
        <v>1142</v>
      </c>
      <c r="D152" s="6" t="s">
        <v>1143</v>
      </c>
      <c r="E152" s="7" t="s">
        <v>41</v>
      </c>
    </row>
    <row r="153" customFormat="false" ht="23.85" hidden="false" customHeight="false" outlineLevel="0" collapsed="false">
      <c r="A153" s="6" t="s">
        <v>526</v>
      </c>
      <c r="B153" s="6" t="s">
        <v>642</v>
      </c>
      <c r="C153" s="6" t="s">
        <v>1144</v>
      </c>
      <c r="D153" s="6" t="s">
        <v>1145</v>
      </c>
      <c r="E153" s="10" t="s">
        <v>102</v>
      </c>
    </row>
    <row r="154" customFormat="false" ht="23.85" hidden="false" customHeight="false" outlineLevel="0" collapsed="false">
      <c r="A154" s="6" t="s">
        <v>526</v>
      </c>
      <c r="B154" s="6" t="s">
        <v>655</v>
      </c>
      <c r="C154" s="6" t="s">
        <v>1146</v>
      </c>
      <c r="D154" s="6" t="s">
        <v>1147</v>
      </c>
      <c r="E154" s="10" t="s">
        <v>102</v>
      </c>
    </row>
    <row r="155" customFormat="false" ht="23.85" hidden="false" customHeight="false" outlineLevel="0" collapsed="false">
      <c r="A155" s="6" t="s">
        <v>526</v>
      </c>
      <c r="B155" s="6" t="s">
        <v>663</v>
      </c>
      <c r="C155" s="6" t="s">
        <v>1148</v>
      </c>
      <c r="D155" s="6" t="s">
        <v>1149</v>
      </c>
      <c r="E155" s="11" t="s">
        <v>316</v>
      </c>
    </row>
    <row r="156" customFormat="false" ht="23.85" hidden="false" customHeight="false" outlineLevel="0" collapsed="false">
      <c r="A156" s="6" t="s">
        <v>526</v>
      </c>
      <c r="B156" s="6" t="s">
        <v>663</v>
      </c>
      <c r="C156" s="6" t="s">
        <v>1150</v>
      </c>
      <c r="D156" s="6" t="s">
        <v>1151</v>
      </c>
      <c r="E156" s="11" t="s">
        <v>316</v>
      </c>
    </row>
    <row r="157" customFormat="false" ht="23.85" hidden="false" customHeight="false" outlineLevel="0" collapsed="false">
      <c r="A157" s="6" t="s">
        <v>526</v>
      </c>
      <c r="B157" s="6" t="s">
        <v>663</v>
      </c>
      <c r="C157" s="6" t="s">
        <v>1152</v>
      </c>
      <c r="D157" s="6" t="s">
        <v>1153</v>
      </c>
      <c r="E157" s="11" t="s">
        <v>316</v>
      </c>
    </row>
    <row r="158" customFormat="false" ht="23.85" hidden="false" customHeight="false" outlineLevel="0" collapsed="false">
      <c r="A158" s="6" t="s">
        <v>526</v>
      </c>
      <c r="B158" s="6" t="s">
        <v>663</v>
      </c>
      <c r="C158" s="6" t="s">
        <v>1154</v>
      </c>
      <c r="D158" s="6" t="s">
        <v>1155</v>
      </c>
      <c r="E158" s="7" t="s">
        <v>41</v>
      </c>
    </row>
    <row r="159" customFormat="false" ht="23.85" hidden="false" customHeight="false" outlineLevel="0" collapsed="false">
      <c r="A159" s="6" t="s">
        <v>526</v>
      </c>
      <c r="B159" s="6" t="s">
        <v>663</v>
      </c>
      <c r="C159" s="6" t="s">
        <v>1156</v>
      </c>
      <c r="D159" s="6" t="s">
        <v>1157</v>
      </c>
      <c r="E159" s="10" t="s">
        <v>102</v>
      </c>
    </row>
    <row r="160" customFormat="false" ht="23.85" hidden="false" customHeight="false" outlineLevel="0" collapsed="false">
      <c r="A160" s="6" t="s">
        <v>526</v>
      </c>
      <c r="B160" s="6" t="s">
        <v>680</v>
      </c>
      <c r="C160" s="6" t="s">
        <v>1158</v>
      </c>
      <c r="D160" s="6" t="s">
        <v>1159</v>
      </c>
      <c r="E160" s="7" t="s">
        <v>41</v>
      </c>
    </row>
    <row r="161" customFormat="false" ht="23.85" hidden="false" customHeight="false" outlineLevel="0" collapsed="false">
      <c r="A161" s="6" t="s">
        <v>526</v>
      </c>
      <c r="B161" s="6" t="s">
        <v>680</v>
      </c>
      <c r="C161" s="6" t="s">
        <v>1160</v>
      </c>
      <c r="D161" s="6" t="s">
        <v>1161</v>
      </c>
      <c r="E161" s="7" t="s">
        <v>41</v>
      </c>
    </row>
    <row r="162" customFormat="false" ht="23.85" hidden="false" customHeight="false" outlineLevel="0" collapsed="false">
      <c r="A162" s="6" t="s">
        <v>526</v>
      </c>
      <c r="B162" s="6" t="s">
        <v>680</v>
      </c>
      <c r="C162" s="6" t="s">
        <v>1162</v>
      </c>
      <c r="D162" s="6" t="s">
        <v>1163</v>
      </c>
      <c r="E162" s="10" t="s">
        <v>102</v>
      </c>
    </row>
    <row r="163" customFormat="false" ht="23.85" hidden="false" customHeight="false" outlineLevel="0" collapsed="false">
      <c r="A163" s="6" t="s">
        <v>526</v>
      </c>
      <c r="B163" s="6" t="s">
        <v>691</v>
      </c>
      <c r="C163" s="6" t="s">
        <v>1164</v>
      </c>
      <c r="D163" s="6" t="s">
        <v>1165</v>
      </c>
      <c r="E163" s="11" t="s">
        <v>316</v>
      </c>
    </row>
    <row r="164" customFormat="false" ht="23.85" hidden="false" customHeight="false" outlineLevel="0" collapsed="false">
      <c r="A164" s="6" t="s">
        <v>526</v>
      </c>
      <c r="B164" s="6" t="s">
        <v>691</v>
      </c>
      <c r="C164" s="6" t="s">
        <v>937</v>
      </c>
      <c r="D164" s="6" t="s">
        <v>1166</v>
      </c>
      <c r="E164" s="11" t="s">
        <v>316</v>
      </c>
    </row>
    <row r="165" customFormat="false" ht="23.85" hidden="false" customHeight="false" outlineLevel="0" collapsed="false">
      <c r="A165" s="6" t="s">
        <v>526</v>
      </c>
      <c r="B165" s="6" t="s">
        <v>691</v>
      </c>
      <c r="C165" s="6" t="s">
        <v>1167</v>
      </c>
      <c r="D165" s="6" t="s">
        <v>1168</v>
      </c>
      <c r="E165" s="10" t="s">
        <v>102</v>
      </c>
    </row>
    <row r="166" customFormat="false" ht="23.85" hidden="false" customHeight="false" outlineLevel="0" collapsed="false">
      <c r="A166" s="6" t="s">
        <v>526</v>
      </c>
      <c r="B166" s="6" t="s">
        <v>691</v>
      </c>
      <c r="C166" s="6" t="s">
        <v>1169</v>
      </c>
      <c r="D166" s="6" t="s">
        <v>1170</v>
      </c>
      <c r="E166" s="10" t="s">
        <v>102</v>
      </c>
    </row>
    <row r="167" customFormat="false" ht="23.85" hidden="false" customHeight="false" outlineLevel="0" collapsed="false">
      <c r="A167" s="6" t="s">
        <v>526</v>
      </c>
      <c r="B167" s="6" t="s">
        <v>702</v>
      </c>
      <c r="C167" s="6" t="s">
        <v>1171</v>
      </c>
      <c r="D167" s="6" t="s">
        <v>1172</v>
      </c>
      <c r="E167" s="7" t="s">
        <v>41</v>
      </c>
    </row>
    <row r="168" customFormat="false" ht="23.85" hidden="false" customHeight="false" outlineLevel="0" collapsed="false">
      <c r="A168" s="6" t="s">
        <v>526</v>
      </c>
      <c r="B168" s="6" t="s">
        <v>702</v>
      </c>
      <c r="C168" s="6" t="s">
        <v>1173</v>
      </c>
      <c r="D168" s="6" t="s">
        <v>1174</v>
      </c>
      <c r="E168" s="10" t="s">
        <v>102</v>
      </c>
    </row>
    <row r="169" customFormat="false" ht="23.85" hidden="false" customHeight="false" outlineLevel="0" collapsed="false">
      <c r="A169" s="6" t="s">
        <v>526</v>
      </c>
      <c r="B169" s="6" t="s">
        <v>702</v>
      </c>
      <c r="C169" s="6" t="s">
        <v>1175</v>
      </c>
      <c r="D169" s="6" t="s">
        <v>1176</v>
      </c>
      <c r="E169" s="10" t="s">
        <v>102</v>
      </c>
    </row>
    <row r="170" customFormat="false" ht="23.85" hidden="false" customHeight="false" outlineLevel="0" collapsed="false">
      <c r="A170" s="6" t="s">
        <v>526</v>
      </c>
      <c r="B170" s="6" t="s">
        <v>713</v>
      </c>
      <c r="C170" s="6" t="s">
        <v>1177</v>
      </c>
      <c r="D170" s="6" t="s">
        <v>1178</v>
      </c>
      <c r="E170" s="11" t="s">
        <v>316</v>
      </c>
    </row>
    <row r="171" customFormat="false" ht="23.85" hidden="false" customHeight="false" outlineLevel="0" collapsed="false">
      <c r="A171" s="6" t="s">
        <v>526</v>
      </c>
      <c r="B171" s="6" t="s">
        <v>713</v>
      </c>
      <c r="C171" s="6" t="s">
        <v>1179</v>
      </c>
      <c r="D171" s="6" t="s">
        <v>1180</v>
      </c>
      <c r="E171" s="7" t="s">
        <v>41</v>
      </c>
    </row>
    <row r="172" customFormat="false" ht="23.85" hidden="false" customHeight="false" outlineLevel="0" collapsed="false">
      <c r="A172" s="6" t="s">
        <v>526</v>
      </c>
      <c r="B172" s="6" t="s">
        <v>713</v>
      </c>
      <c r="C172" s="6" t="s">
        <v>1181</v>
      </c>
      <c r="D172" s="6" t="s">
        <v>1182</v>
      </c>
      <c r="E172" s="10" t="s">
        <v>102</v>
      </c>
    </row>
    <row r="173" customFormat="false" ht="23.85" hidden="false" customHeight="false" outlineLevel="0" collapsed="false">
      <c r="A173" s="6" t="s">
        <v>526</v>
      </c>
      <c r="B173" s="6" t="s">
        <v>713</v>
      </c>
      <c r="C173" s="6" t="s">
        <v>1183</v>
      </c>
      <c r="D173" s="6" t="s">
        <v>1184</v>
      </c>
      <c r="E173" s="10" t="s">
        <v>102</v>
      </c>
    </row>
    <row r="174" customFormat="false" ht="23.85" hidden="false" customHeight="false" outlineLevel="0" collapsed="false">
      <c r="A174" s="6" t="s">
        <v>526</v>
      </c>
      <c r="B174" s="6" t="s">
        <v>728</v>
      </c>
      <c r="C174" s="6" t="s">
        <v>1185</v>
      </c>
      <c r="D174" s="6" t="s">
        <v>1186</v>
      </c>
      <c r="E174" s="7" t="s">
        <v>41</v>
      </c>
    </row>
    <row r="175" customFormat="false" ht="23.85" hidden="false" customHeight="false" outlineLevel="0" collapsed="false">
      <c r="A175" s="6" t="s">
        <v>526</v>
      </c>
      <c r="B175" s="6" t="s">
        <v>728</v>
      </c>
      <c r="C175" s="6" t="s">
        <v>1148</v>
      </c>
      <c r="D175" s="6" t="s">
        <v>1187</v>
      </c>
      <c r="E175" s="11" t="s">
        <v>316</v>
      </c>
    </row>
    <row r="176" customFormat="false" ht="23.85" hidden="false" customHeight="false" outlineLevel="0" collapsed="false">
      <c r="A176" s="6" t="s">
        <v>526</v>
      </c>
      <c r="B176" s="6" t="s">
        <v>728</v>
      </c>
      <c r="C176" s="6" t="s">
        <v>1188</v>
      </c>
      <c r="D176" s="6" t="s">
        <v>1189</v>
      </c>
      <c r="E176" s="7" t="s">
        <v>41</v>
      </c>
    </row>
    <row r="177" customFormat="false" ht="15" hidden="false" customHeight="false" outlineLevel="0" collapsed="false">
      <c r="A177" s="6" t="s">
        <v>737</v>
      </c>
      <c r="B177" s="6" t="s">
        <v>738</v>
      </c>
      <c r="C177" s="6" t="s">
        <v>1190</v>
      </c>
      <c r="D177" s="6" t="s">
        <v>1191</v>
      </c>
      <c r="E177" s="11" t="s">
        <v>316</v>
      </c>
    </row>
    <row r="178" customFormat="false" ht="23.85" hidden="false" customHeight="false" outlineLevel="0" collapsed="false">
      <c r="A178" s="6" t="s">
        <v>737</v>
      </c>
      <c r="B178" s="6" t="s">
        <v>738</v>
      </c>
      <c r="C178" s="6" t="s">
        <v>1192</v>
      </c>
      <c r="D178" s="6" t="s">
        <v>1193</v>
      </c>
      <c r="E178" s="11" t="s">
        <v>316</v>
      </c>
    </row>
    <row r="179" customFormat="false" ht="23.85" hidden="false" customHeight="false" outlineLevel="0" collapsed="false">
      <c r="A179" s="6" t="s">
        <v>737</v>
      </c>
      <c r="B179" s="6" t="s">
        <v>738</v>
      </c>
      <c r="C179" s="6" t="s">
        <v>1194</v>
      </c>
      <c r="D179" s="6" t="s">
        <v>1195</v>
      </c>
      <c r="E179" s="10" t="s">
        <v>102</v>
      </c>
    </row>
    <row r="180" customFormat="false" ht="15" hidden="false" customHeight="false" outlineLevel="0" collapsed="false">
      <c r="A180" s="6" t="s">
        <v>737</v>
      </c>
      <c r="B180" s="6" t="s">
        <v>738</v>
      </c>
      <c r="C180" s="6" t="s">
        <v>1196</v>
      </c>
      <c r="D180" s="6" t="s">
        <v>1197</v>
      </c>
      <c r="E180" s="10" t="s">
        <v>102</v>
      </c>
    </row>
    <row r="181" customFormat="false" ht="15" hidden="false" customHeight="false" outlineLevel="0" collapsed="false">
      <c r="A181" s="6" t="s">
        <v>737</v>
      </c>
      <c r="B181" s="6" t="s">
        <v>749</v>
      </c>
      <c r="C181" s="6" t="s">
        <v>1198</v>
      </c>
      <c r="D181" s="6" t="s">
        <v>1199</v>
      </c>
      <c r="E181" s="7" t="s">
        <v>41</v>
      </c>
    </row>
    <row r="182" customFormat="false" ht="23.85" hidden="false" customHeight="false" outlineLevel="0" collapsed="false">
      <c r="A182" s="6" t="s">
        <v>737</v>
      </c>
      <c r="B182" s="6" t="s">
        <v>749</v>
      </c>
      <c r="C182" s="6" t="s">
        <v>1200</v>
      </c>
      <c r="D182" s="6" t="s">
        <v>1201</v>
      </c>
      <c r="E182" s="7" t="s">
        <v>41</v>
      </c>
    </row>
    <row r="183" customFormat="false" ht="23.85" hidden="false" customHeight="false" outlineLevel="0" collapsed="false">
      <c r="A183" s="6" t="s">
        <v>737</v>
      </c>
      <c r="B183" s="6" t="s">
        <v>749</v>
      </c>
      <c r="C183" s="6" t="s">
        <v>1202</v>
      </c>
      <c r="D183" s="6" t="s">
        <v>1203</v>
      </c>
      <c r="E183" s="10" t="s">
        <v>102</v>
      </c>
    </row>
    <row r="184" customFormat="false" ht="15" hidden="false" customHeight="false" outlineLevel="0" collapsed="false">
      <c r="A184" s="6" t="s">
        <v>737</v>
      </c>
      <c r="B184" s="6" t="s">
        <v>749</v>
      </c>
      <c r="C184" s="6" t="s">
        <v>1204</v>
      </c>
      <c r="D184" s="6" t="s">
        <v>1205</v>
      </c>
      <c r="E184" s="10" t="s">
        <v>102</v>
      </c>
    </row>
    <row r="185" customFormat="false" ht="23.85" hidden="false" customHeight="false" outlineLevel="0" collapsed="false">
      <c r="A185" s="6" t="s">
        <v>737</v>
      </c>
      <c r="B185" s="6" t="s">
        <v>760</v>
      </c>
      <c r="C185" s="6" t="s">
        <v>1206</v>
      </c>
      <c r="D185" s="6" t="s">
        <v>1207</v>
      </c>
      <c r="E185" s="11" t="s">
        <v>316</v>
      </c>
    </row>
    <row r="186" customFormat="false" ht="23.85" hidden="false" customHeight="false" outlineLevel="0" collapsed="false">
      <c r="A186" s="6" t="s">
        <v>737</v>
      </c>
      <c r="B186" s="6" t="s">
        <v>760</v>
      </c>
      <c r="C186" s="6" t="s">
        <v>1208</v>
      </c>
      <c r="D186" s="6" t="s">
        <v>1209</v>
      </c>
      <c r="E186" s="11" t="s">
        <v>316</v>
      </c>
    </row>
    <row r="187" customFormat="false" ht="23.85" hidden="false" customHeight="false" outlineLevel="0" collapsed="false">
      <c r="A187" s="6" t="s">
        <v>737</v>
      </c>
      <c r="B187" s="6" t="s">
        <v>760</v>
      </c>
      <c r="C187" s="6" t="s">
        <v>1210</v>
      </c>
      <c r="D187" s="6" t="s">
        <v>1211</v>
      </c>
      <c r="E187" s="10" t="s">
        <v>102</v>
      </c>
    </row>
    <row r="188" customFormat="false" ht="23.85" hidden="false" customHeight="false" outlineLevel="0" collapsed="false">
      <c r="A188" s="6" t="s">
        <v>737</v>
      </c>
      <c r="B188" s="6" t="s">
        <v>760</v>
      </c>
      <c r="C188" s="6" t="s">
        <v>1212</v>
      </c>
      <c r="D188" s="6" t="s">
        <v>1213</v>
      </c>
      <c r="E188" s="10" t="s">
        <v>102</v>
      </c>
    </row>
    <row r="189" customFormat="false" ht="23.85" hidden="false" customHeight="false" outlineLevel="0" collapsed="false">
      <c r="A189" s="6" t="s">
        <v>737</v>
      </c>
      <c r="B189" s="6" t="s">
        <v>760</v>
      </c>
      <c r="C189" s="6" t="s">
        <v>1214</v>
      </c>
      <c r="D189" s="6" t="s">
        <v>1215</v>
      </c>
      <c r="E189" s="10" t="s">
        <v>102</v>
      </c>
    </row>
    <row r="190" customFormat="false" ht="23.85" hidden="false" customHeight="false" outlineLevel="0" collapsed="false">
      <c r="A190" s="6" t="s">
        <v>737</v>
      </c>
      <c r="B190" s="6" t="s">
        <v>787</v>
      </c>
      <c r="C190" s="6" t="s">
        <v>1192</v>
      </c>
      <c r="D190" s="6" t="s">
        <v>1216</v>
      </c>
      <c r="E190" s="11" t="s">
        <v>316</v>
      </c>
    </row>
    <row r="191" customFormat="false" ht="15" hidden="false" customHeight="false" outlineLevel="0" collapsed="false">
      <c r="A191" s="6" t="s">
        <v>737</v>
      </c>
      <c r="B191" s="6" t="s">
        <v>787</v>
      </c>
      <c r="C191" s="6" t="s">
        <v>1217</v>
      </c>
      <c r="D191" s="6" t="s">
        <v>1218</v>
      </c>
      <c r="E191" s="11" t="s">
        <v>316</v>
      </c>
    </row>
    <row r="192" customFormat="false" ht="15" hidden="false" customHeight="false" outlineLevel="0" collapsed="false">
      <c r="A192" s="6" t="s">
        <v>737</v>
      </c>
      <c r="B192" s="6" t="s">
        <v>787</v>
      </c>
      <c r="C192" s="6" t="s">
        <v>1219</v>
      </c>
      <c r="D192" s="6" t="s">
        <v>1220</v>
      </c>
      <c r="E192" s="10" t="s">
        <v>102</v>
      </c>
    </row>
    <row r="193" customFormat="false" ht="15" hidden="false" customHeight="false" outlineLevel="0" collapsed="false">
      <c r="A193" s="6" t="s">
        <v>737</v>
      </c>
      <c r="B193" s="6" t="s">
        <v>796</v>
      </c>
      <c r="C193" s="6" t="s">
        <v>1221</v>
      </c>
      <c r="D193" s="6" t="s">
        <v>1222</v>
      </c>
      <c r="E193" s="11" t="s">
        <v>316</v>
      </c>
    </row>
    <row r="194" customFormat="false" ht="23.85" hidden="false" customHeight="false" outlineLevel="0" collapsed="false">
      <c r="A194" s="6" t="s">
        <v>737</v>
      </c>
      <c r="B194" s="6" t="s">
        <v>796</v>
      </c>
      <c r="C194" s="6" t="s">
        <v>1223</v>
      </c>
      <c r="D194" s="6" t="s">
        <v>1224</v>
      </c>
      <c r="E194" s="11" t="s">
        <v>316</v>
      </c>
    </row>
    <row r="195" customFormat="false" ht="23.85" hidden="false" customHeight="false" outlineLevel="0" collapsed="false">
      <c r="A195" s="6" t="s">
        <v>737</v>
      </c>
      <c r="B195" s="6" t="s">
        <v>796</v>
      </c>
      <c r="C195" s="6" t="s">
        <v>1225</v>
      </c>
      <c r="D195" s="6" t="s">
        <v>1226</v>
      </c>
      <c r="E195" s="10" t="s">
        <v>102</v>
      </c>
    </row>
    <row r="196" customFormat="false" ht="23.85" hidden="false" customHeight="false" outlineLevel="0" collapsed="false">
      <c r="A196" s="6" t="s">
        <v>737</v>
      </c>
      <c r="B196" s="6" t="s">
        <v>796</v>
      </c>
      <c r="C196" s="6" t="s">
        <v>1227</v>
      </c>
      <c r="D196" s="6" t="s">
        <v>1228</v>
      </c>
      <c r="E196" s="10" t="s">
        <v>102</v>
      </c>
    </row>
    <row r="197" customFormat="false" ht="23.85" hidden="false" customHeight="false" outlineLevel="0" collapsed="false">
      <c r="A197" s="6" t="s">
        <v>737</v>
      </c>
      <c r="B197" s="6" t="s">
        <v>811</v>
      </c>
      <c r="C197" s="6" t="s">
        <v>1229</v>
      </c>
      <c r="D197" s="6" t="s">
        <v>1230</v>
      </c>
      <c r="E197" s="11" t="s">
        <v>316</v>
      </c>
    </row>
    <row r="198" customFormat="false" ht="23.85" hidden="false" customHeight="false" outlineLevel="0" collapsed="false">
      <c r="A198" s="6" t="s">
        <v>737</v>
      </c>
      <c r="B198" s="6" t="s">
        <v>811</v>
      </c>
      <c r="C198" s="6" t="s">
        <v>1198</v>
      </c>
      <c r="D198" s="6" t="s">
        <v>1231</v>
      </c>
      <c r="E198" s="7" t="s">
        <v>41</v>
      </c>
    </row>
    <row r="199" customFormat="false" ht="23.85" hidden="false" customHeight="false" outlineLevel="0" collapsed="false">
      <c r="A199" s="6" t="s">
        <v>737</v>
      </c>
      <c r="B199" s="6" t="s">
        <v>811</v>
      </c>
      <c r="C199" s="6" t="s">
        <v>1232</v>
      </c>
      <c r="D199" s="6" t="s">
        <v>1233</v>
      </c>
      <c r="E199" s="10" t="s">
        <v>102</v>
      </c>
    </row>
    <row r="200" customFormat="false" ht="23.85" hidden="false" customHeight="false" outlineLevel="0" collapsed="false">
      <c r="A200" s="6" t="s">
        <v>737</v>
      </c>
      <c r="B200" s="6" t="s">
        <v>811</v>
      </c>
      <c r="C200" s="6" t="s">
        <v>1234</v>
      </c>
      <c r="D200" s="6" t="s">
        <v>1235</v>
      </c>
      <c r="E200" s="10" t="s">
        <v>102</v>
      </c>
    </row>
    <row r="201" customFormat="false" ht="23.85" hidden="false" customHeight="false" outlineLevel="0" collapsed="false">
      <c r="A201" s="6" t="s">
        <v>737</v>
      </c>
      <c r="B201" s="6" t="s">
        <v>822</v>
      </c>
      <c r="C201" s="6" t="s">
        <v>1236</v>
      </c>
      <c r="D201" s="6" t="s">
        <v>1237</v>
      </c>
      <c r="E201" s="11" t="s">
        <v>316</v>
      </c>
    </row>
    <row r="202" customFormat="false" ht="15" hidden="false" customHeight="false" outlineLevel="0" collapsed="false">
      <c r="A202" s="6" t="s">
        <v>737</v>
      </c>
      <c r="B202" s="6" t="s">
        <v>822</v>
      </c>
      <c r="C202" s="6" t="s">
        <v>1238</v>
      </c>
      <c r="D202" s="6" t="s">
        <v>1239</v>
      </c>
      <c r="E202" s="11" t="s">
        <v>316</v>
      </c>
    </row>
    <row r="203" customFormat="false" ht="23.85" hidden="false" customHeight="false" outlineLevel="0" collapsed="false">
      <c r="A203" s="6" t="s">
        <v>737</v>
      </c>
      <c r="B203" s="6" t="s">
        <v>822</v>
      </c>
      <c r="C203" s="6" t="s">
        <v>1240</v>
      </c>
      <c r="D203" s="6" t="s">
        <v>1241</v>
      </c>
      <c r="E203" s="10" t="s">
        <v>102</v>
      </c>
    </row>
    <row r="204" customFormat="false" ht="23.85" hidden="false" customHeight="false" outlineLevel="0" collapsed="false">
      <c r="A204" s="6" t="s">
        <v>737</v>
      </c>
      <c r="B204" s="6" t="s">
        <v>822</v>
      </c>
      <c r="C204" s="6" t="s">
        <v>1242</v>
      </c>
      <c r="D204" s="6" t="s">
        <v>1243</v>
      </c>
      <c r="E204" s="10" t="s">
        <v>102</v>
      </c>
    </row>
    <row r="205" customFormat="false" ht="15" hidden="false" customHeight="false" outlineLevel="0" collapsed="false">
      <c r="A205" s="6" t="s">
        <v>737</v>
      </c>
      <c r="B205" s="6" t="s">
        <v>837</v>
      </c>
      <c r="C205" s="6" t="s">
        <v>1244</v>
      </c>
      <c r="D205" s="6" t="s">
        <v>1245</v>
      </c>
      <c r="E205" s="11" t="s">
        <v>316</v>
      </c>
    </row>
    <row r="206" customFormat="false" ht="15" hidden="false" customHeight="false" outlineLevel="0" collapsed="false">
      <c r="A206" s="6" t="s">
        <v>737</v>
      </c>
      <c r="B206" s="6" t="s">
        <v>837</v>
      </c>
      <c r="C206" s="6" t="s">
        <v>1246</v>
      </c>
      <c r="D206" s="6" t="s">
        <v>1247</v>
      </c>
      <c r="E206" s="11" t="s">
        <v>316</v>
      </c>
    </row>
    <row r="207" customFormat="false" ht="23.85" hidden="false" customHeight="false" outlineLevel="0" collapsed="false">
      <c r="A207" s="6" t="s">
        <v>737</v>
      </c>
      <c r="B207" s="6" t="s">
        <v>837</v>
      </c>
      <c r="C207" s="6" t="s">
        <v>1248</v>
      </c>
      <c r="D207" s="6" t="s">
        <v>1249</v>
      </c>
      <c r="E207" s="10" t="s">
        <v>102</v>
      </c>
    </row>
  </sheetData>
  <autoFilter ref="A1:E2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0"/>
    <col collapsed="false" customWidth="true" hidden="false" outlineLevel="0" max="4" min="4" style="0" width="55"/>
    <col collapsed="false" customWidth="true" hidden="false" outlineLevel="0" max="5" min="5" style="0" width="24"/>
    <col collapsed="false" customWidth="true" hidden="false" outlineLevel="0" max="6" min="6" style="0" width="60"/>
  </cols>
  <sheetData>
    <row r="1" customFormat="false" ht="30" hidden="false" customHeight="true" outlineLevel="0" collapsed="false">
      <c r="A1" s="5" t="s">
        <v>20</v>
      </c>
      <c r="B1" s="5" t="s">
        <v>21</v>
      </c>
      <c r="C1" s="5" t="s">
        <v>1250</v>
      </c>
      <c r="D1" s="5" t="s">
        <v>1251</v>
      </c>
      <c r="E1" s="5" t="s">
        <v>1252</v>
      </c>
      <c r="F1" s="5" t="s">
        <v>1253</v>
      </c>
    </row>
    <row r="2" customFormat="false" ht="15" hidden="false" customHeight="false" outlineLevel="0" collapsed="false">
      <c r="A2" s="6" t="s">
        <v>34</v>
      </c>
      <c r="B2" s="6" t="s">
        <v>35</v>
      </c>
      <c r="C2" s="6" t="s">
        <v>1254</v>
      </c>
      <c r="D2" s="12" t="s">
        <v>1255</v>
      </c>
      <c r="E2" s="6" t="s">
        <v>1256</v>
      </c>
      <c r="F2" s="6" t="s">
        <v>1257</v>
      </c>
    </row>
    <row r="3" customFormat="false" ht="15" hidden="false" customHeight="false" outlineLevel="0" collapsed="false">
      <c r="A3" s="6" t="s">
        <v>34</v>
      </c>
      <c r="B3" s="6" t="s">
        <v>35</v>
      </c>
      <c r="C3" s="6" t="s">
        <v>1254</v>
      </c>
      <c r="D3" s="12" t="s">
        <v>1258</v>
      </c>
      <c r="E3" s="6" t="s">
        <v>1256</v>
      </c>
      <c r="F3" s="6" t="s">
        <v>1259</v>
      </c>
    </row>
    <row r="4" customFormat="false" ht="15" hidden="false" customHeight="false" outlineLevel="0" collapsed="false">
      <c r="A4" s="6" t="s">
        <v>34</v>
      </c>
      <c r="B4" s="6" t="s">
        <v>35</v>
      </c>
      <c r="C4" s="6" t="s">
        <v>1254</v>
      </c>
      <c r="D4" s="12" t="s">
        <v>1260</v>
      </c>
      <c r="E4" s="6" t="s">
        <v>1256</v>
      </c>
      <c r="F4" s="6" t="s">
        <v>1261</v>
      </c>
    </row>
    <row r="5" customFormat="false" ht="15" hidden="false" customHeight="false" outlineLevel="0" collapsed="false">
      <c r="A5" s="6" t="s">
        <v>34</v>
      </c>
      <c r="B5" s="6" t="s">
        <v>35</v>
      </c>
      <c r="C5" s="6" t="s">
        <v>1262</v>
      </c>
      <c r="D5" s="12" t="s">
        <v>1263</v>
      </c>
      <c r="E5" s="6" t="s">
        <v>1264</v>
      </c>
      <c r="F5" s="6" t="s">
        <v>1265</v>
      </c>
    </row>
    <row r="6" customFormat="false" ht="23.85" hidden="false" customHeight="false" outlineLevel="0" collapsed="false">
      <c r="A6" s="6" t="s">
        <v>34</v>
      </c>
      <c r="B6" s="6" t="s">
        <v>35</v>
      </c>
      <c r="C6" s="6" t="s">
        <v>1262</v>
      </c>
      <c r="D6" s="12" t="s">
        <v>1266</v>
      </c>
      <c r="E6" s="6" t="s">
        <v>1267</v>
      </c>
      <c r="F6" s="6" t="s">
        <v>1268</v>
      </c>
    </row>
    <row r="7" customFormat="false" ht="23.85" hidden="false" customHeight="false" outlineLevel="0" collapsed="false">
      <c r="A7" s="6" t="s">
        <v>34</v>
      </c>
      <c r="B7" s="6" t="s">
        <v>35</v>
      </c>
      <c r="C7" s="6" t="s">
        <v>1269</v>
      </c>
      <c r="D7" s="12" t="s">
        <v>1270</v>
      </c>
      <c r="E7" s="6" t="s">
        <v>1271</v>
      </c>
      <c r="F7" s="6" t="s">
        <v>1272</v>
      </c>
    </row>
    <row r="8" customFormat="false" ht="15" hidden="false" customHeight="false" outlineLevel="0" collapsed="false">
      <c r="A8" s="6" t="s">
        <v>34</v>
      </c>
      <c r="B8" s="6" t="s">
        <v>35</v>
      </c>
      <c r="C8" s="6" t="s">
        <v>1269</v>
      </c>
      <c r="D8" s="12" t="s">
        <v>1273</v>
      </c>
      <c r="E8" s="6" t="s">
        <v>1271</v>
      </c>
      <c r="F8" s="6" t="s">
        <v>1274</v>
      </c>
    </row>
    <row r="9" customFormat="false" ht="23.85" hidden="false" customHeight="false" outlineLevel="0" collapsed="false">
      <c r="A9" s="6" t="s">
        <v>34</v>
      </c>
      <c r="B9" s="6" t="s">
        <v>64</v>
      </c>
      <c r="C9" s="6" t="s">
        <v>1254</v>
      </c>
      <c r="D9" s="12" t="s">
        <v>1275</v>
      </c>
      <c r="E9" s="6" t="s">
        <v>1256</v>
      </c>
      <c r="F9" s="6" t="s">
        <v>1276</v>
      </c>
    </row>
    <row r="10" customFormat="false" ht="23.85" hidden="false" customHeight="false" outlineLevel="0" collapsed="false">
      <c r="A10" s="6" t="s">
        <v>34</v>
      </c>
      <c r="B10" s="6" t="s">
        <v>64</v>
      </c>
      <c r="C10" s="6" t="s">
        <v>1262</v>
      </c>
      <c r="D10" s="12" t="s">
        <v>1277</v>
      </c>
      <c r="E10" s="6" t="s">
        <v>1278</v>
      </c>
      <c r="F10" s="6" t="s">
        <v>1279</v>
      </c>
    </row>
    <row r="11" customFormat="false" ht="15" hidden="false" customHeight="false" outlineLevel="0" collapsed="false">
      <c r="A11" s="6" t="s">
        <v>34</v>
      </c>
      <c r="B11" s="6" t="s">
        <v>64</v>
      </c>
      <c r="C11" s="6" t="s">
        <v>1262</v>
      </c>
      <c r="D11" s="12" t="s">
        <v>1280</v>
      </c>
      <c r="E11" s="6" t="s">
        <v>1281</v>
      </c>
      <c r="F11" s="6" t="s">
        <v>1282</v>
      </c>
    </row>
    <row r="12" customFormat="false" ht="15" hidden="false" customHeight="false" outlineLevel="0" collapsed="false">
      <c r="A12" s="6" t="s">
        <v>34</v>
      </c>
      <c r="B12" s="6" t="s">
        <v>64</v>
      </c>
      <c r="C12" s="6" t="s">
        <v>1254</v>
      </c>
      <c r="D12" s="12" t="s">
        <v>1283</v>
      </c>
      <c r="E12" s="6" t="s">
        <v>1284</v>
      </c>
      <c r="F12" s="6" t="s">
        <v>1285</v>
      </c>
    </row>
    <row r="13" customFormat="false" ht="23.85" hidden="false" customHeight="false" outlineLevel="0" collapsed="false">
      <c r="A13" s="6" t="s">
        <v>34</v>
      </c>
      <c r="B13" s="6" t="s">
        <v>64</v>
      </c>
      <c r="C13" s="6" t="s">
        <v>1269</v>
      </c>
      <c r="D13" s="12" t="s">
        <v>1270</v>
      </c>
      <c r="E13" s="6" t="s">
        <v>1271</v>
      </c>
      <c r="F13" s="6" t="s">
        <v>1272</v>
      </c>
    </row>
    <row r="14" customFormat="false" ht="15" hidden="false" customHeight="false" outlineLevel="0" collapsed="false">
      <c r="A14" s="6" t="s">
        <v>34</v>
      </c>
      <c r="B14" s="6" t="s">
        <v>79</v>
      </c>
      <c r="C14" s="6" t="s">
        <v>1254</v>
      </c>
      <c r="D14" s="12" t="s">
        <v>1286</v>
      </c>
      <c r="E14" s="6" t="s">
        <v>1287</v>
      </c>
      <c r="F14" s="6" t="s">
        <v>1288</v>
      </c>
    </row>
    <row r="15" customFormat="false" ht="15" hidden="false" customHeight="false" outlineLevel="0" collapsed="false">
      <c r="A15" s="6" t="s">
        <v>34</v>
      </c>
      <c r="B15" s="6" t="s">
        <v>79</v>
      </c>
      <c r="C15" s="6" t="s">
        <v>1254</v>
      </c>
      <c r="D15" s="12" t="s">
        <v>1289</v>
      </c>
      <c r="E15" s="6" t="s">
        <v>1256</v>
      </c>
      <c r="F15" s="6" t="s">
        <v>1290</v>
      </c>
    </row>
    <row r="16" customFormat="false" ht="15" hidden="false" customHeight="false" outlineLevel="0" collapsed="false">
      <c r="A16" s="6" t="s">
        <v>34</v>
      </c>
      <c r="B16" s="6" t="s">
        <v>79</v>
      </c>
      <c r="C16" s="6" t="s">
        <v>1254</v>
      </c>
      <c r="D16" s="12" t="s">
        <v>1291</v>
      </c>
      <c r="E16" s="6" t="s">
        <v>1256</v>
      </c>
      <c r="F16" s="6" t="s">
        <v>1292</v>
      </c>
    </row>
    <row r="17" customFormat="false" ht="15" hidden="false" customHeight="false" outlineLevel="0" collapsed="false">
      <c r="A17" s="6" t="s">
        <v>34</v>
      </c>
      <c r="B17" s="6" t="s">
        <v>79</v>
      </c>
      <c r="C17" s="6" t="s">
        <v>1254</v>
      </c>
      <c r="D17" s="12" t="s">
        <v>1293</v>
      </c>
      <c r="E17" s="6" t="s">
        <v>1256</v>
      </c>
      <c r="F17" s="6" t="s">
        <v>1294</v>
      </c>
    </row>
    <row r="18" customFormat="false" ht="23.85" hidden="false" customHeight="false" outlineLevel="0" collapsed="false">
      <c r="A18" s="6" t="s">
        <v>34</v>
      </c>
      <c r="B18" s="6" t="s">
        <v>79</v>
      </c>
      <c r="C18" s="6" t="s">
        <v>1262</v>
      </c>
      <c r="D18" s="12" t="s">
        <v>1295</v>
      </c>
      <c r="E18" s="6" t="s">
        <v>1296</v>
      </c>
      <c r="F18" s="6" t="s">
        <v>1297</v>
      </c>
    </row>
    <row r="19" customFormat="false" ht="23.85" hidden="false" customHeight="false" outlineLevel="0" collapsed="false">
      <c r="A19" s="6" t="s">
        <v>34</v>
      </c>
      <c r="B19" s="6" t="s">
        <v>79</v>
      </c>
      <c r="C19" s="6" t="s">
        <v>1269</v>
      </c>
      <c r="D19" s="12" t="s">
        <v>1298</v>
      </c>
      <c r="E19" s="6" t="s">
        <v>1271</v>
      </c>
      <c r="F19" s="6" t="s">
        <v>1299</v>
      </c>
    </row>
    <row r="20" customFormat="false" ht="15" hidden="false" customHeight="false" outlineLevel="0" collapsed="false">
      <c r="A20" s="6" t="s">
        <v>34</v>
      </c>
      <c r="B20" s="6" t="s">
        <v>79</v>
      </c>
      <c r="C20" s="6" t="s">
        <v>1269</v>
      </c>
      <c r="D20" s="12" t="s">
        <v>1300</v>
      </c>
      <c r="E20" s="6" t="s">
        <v>1271</v>
      </c>
      <c r="F20" s="6" t="s">
        <v>1301</v>
      </c>
    </row>
    <row r="21" customFormat="false" ht="15" hidden="false" customHeight="false" outlineLevel="0" collapsed="false">
      <c r="A21" s="6" t="s">
        <v>34</v>
      </c>
      <c r="B21" s="6" t="s">
        <v>98</v>
      </c>
      <c r="C21" s="6" t="s">
        <v>1254</v>
      </c>
      <c r="D21" s="12" t="s">
        <v>1302</v>
      </c>
      <c r="E21" s="6" t="s">
        <v>1287</v>
      </c>
      <c r="F21" s="6" t="s">
        <v>1303</v>
      </c>
    </row>
    <row r="22" customFormat="false" ht="15" hidden="false" customHeight="false" outlineLevel="0" collapsed="false">
      <c r="A22" s="6" t="s">
        <v>34</v>
      </c>
      <c r="B22" s="6" t="s">
        <v>98</v>
      </c>
      <c r="C22" s="6" t="s">
        <v>1254</v>
      </c>
      <c r="D22" s="12" t="s">
        <v>1304</v>
      </c>
      <c r="E22" s="6" t="s">
        <v>1256</v>
      </c>
      <c r="F22" s="6" t="s">
        <v>1305</v>
      </c>
    </row>
    <row r="23" customFormat="false" ht="15" hidden="false" customHeight="false" outlineLevel="0" collapsed="false">
      <c r="A23" s="6" t="s">
        <v>34</v>
      </c>
      <c r="B23" s="6" t="s">
        <v>98</v>
      </c>
      <c r="C23" s="6" t="s">
        <v>1254</v>
      </c>
      <c r="D23" s="12" t="s">
        <v>1306</v>
      </c>
      <c r="E23" s="6" t="s">
        <v>1287</v>
      </c>
      <c r="F23" s="6" t="s">
        <v>1307</v>
      </c>
    </row>
    <row r="24" customFormat="false" ht="15" hidden="false" customHeight="false" outlineLevel="0" collapsed="false">
      <c r="A24" s="6" t="s">
        <v>34</v>
      </c>
      <c r="B24" s="6" t="s">
        <v>98</v>
      </c>
      <c r="C24" s="6" t="s">
        <v>1262</v>
      </c>
      <c r="D24" s="12" t="s">
        <v>1308</v>
      </c>
      <c r="E24" s="6" t="s">
        <v>1309</v>
      </c>
      <c r="F24" s="6" t="s">
        <v>1310</v>
      </c>
    </row>
    <row r="25" customFormat="false" ht="15" hidden="false" customHeight="false" outlineLevel="0" collapsed="false">
      <c r="A25" s="6" t="s">
        <v>34</v>
      </c>
      <c r="B25" s="6" t="s">
        <v>98</v>
      </c>
      <c r="C25" s="6" t="s">
        <v>1269</v>
      </c>
      <c r="D25" s="12" t="s">
        <v>1311</v>
      </c>
      <c r="E25" s="6" t="s">
        <v>1271</v>
      </c>
      <c r="F25" s="6" t="s">
        <v>1312</v>
      </c>
    </row>
    <row r="26" customFormat="false" ht="15" hidden="false" customHeight="false" outlineLevel="0" collapsed="false">
      <c r="A26" s="6" t="s">
        <v>34</v>
      </c>
      <c r="B26" s="6" t="s">
        <v>98</v>
      </c>
      <c r="C26" s="6" t="s">
        <v>1269</v>
      </c>
      <c r="D26" s="12" t="s">
        <v>1313</v>
      </c>
      <c r="E26" s="6" t="s">
        <v>1271</v>
      </c>
      <c r="F26" s="6" t="s">
        <v>1314</v>
      </c>
    </row>
    <row r="27" customFormat="false" ht="15" hidden="false" customHeight="false" outlineLevel="0" collapsed="false">
      <c r="A27" s="6" t="s">
        <v>34</v>
      </c>
      <c r="B27" s="6" t="s">
        <v>113</v>
      </c>
      <c r="C27" s="6" t="s">
        <v>1254</v>
      </c>
      <c r="D27" s="12" t="s">
        <v>1315</v>
      </c>
      <c r="E27" s="6" t="s">
        <v>1287</v>
      </c>
      <c r="F27" s="6" t="s">
        <v>1316</v>
      </c>
    </row>
    <row r="28" customFormat="false" ht="15" hidden="false" customHeight="false" outlineLevel="0" collapsed="false">
      <c r="A28" s="6" t="s">
        <v>34</v>
      </c>
      <c r="B28" s="6" t="s">
        <v>113</v>
      </c>
      <c r="C28" s="6" t="s">
        <v>1254</v>
      </c>
      <c r="D28" s="12" t="s">
        <v>1317</v>
      </c>
      <c r="E28" s="6" t="s">
        <v>1287</v>
      </c>
      <c r="F28" s="6" t="s">
        <v>1318</v>
      </c>
    </row>
    <row r="29" customFormat="false" ht="15" hidden="false" customHeight="false" outlineLevel="0" collapsed="false">
      <c r="A29" s="6" t="s">
        <v>34</v>
      </c>
      <c r="B29" s="6" t="s">
        <v>113</v>
      </c>
      <c r="C29" s="6" t="s">
        <v>1254</v>
      </c>
      <c r="D29" s="12" t="s">
        <v>1319</v>
      </c>
      <c r="E29" s="6" t="s">
        <v>1287</v>
      </c>
      <c r="F29" s="6" t="s">
        <v>1320</v>
      </c>
    </row>
    <row r="30" customFormat="false" ht="15" hidden="false" customHeight="false" outlineLevel="0" collapsed="false">
      <c r="A30" s="6" t="s">
        <v>34</v>
      </c>
      <c r="B30" s="6" t="s">
        <v>113</v>
      </c>
      <c r="C30" s="6" t="s">
        <v>1254</v>
      </c>
      <c r="D30" s="12" t="s">
        <v>1321</v>
      </c>
      <c r="E30" s="6" t="s">
        <v>1284</v>
      </c>
      <c r="F30" s="6" t="s">
        <v>1322</v>
      </c>
    </row>
    <row r="31" customFormat="false" ht="23.85" hidden="false" customHeight="false" outlineLevel="0" collapsed="false">
      <c r="A31" s="6" t="s">
        <v>34</v>
      </c>
      <c r="B31" s="6" t="s">
        <v>113</v>
      </c>
      <c r="C31" s="6" t="s">
        <v>1254</v>
      </c>
      <c r="D31" s="12" t="s">
        <v>1323</v>
      </c>
      <c r="E31" s="6" t="s">
        <v>1324</v>
      </c>
      <c r="F31" s="6" t="s">
        <v>1325</v>
      </c>
    </row>
    <row r="32" customFormat="false" ht="23.85" hidden="false" customHeight="false" outlineLevel="0" collapsed="false">
      <c r="A32" s="6" t="s">
        <v>34</v>
      </c>
      <c r="B32" s="6" t="s">
        <v>113</v>
      </c>
      <c r="C32" s="6" t="s">
        <v>1269</v>
      </c>
      <c r="D32" s="12" t="s">
        <v>1326</v>
      </c>
      <c r="E32" s="6" t="s">
        <v>1271</v>
      </c>
      <c r="F32" s="6" t="s">
        <v>1327</v>
      </c>
    </row>
    <row r="33" customFormat="false" ht="15" hidden="false" customHeight="false" outlineLevel="0" collapsed="false">
      <c r="A33" s="6" t="s">
        <v>34</v>
      </c>
      <c r="B33" s="6" t="s">
        <v>113</v>
      </c>
      <c r="C33" s="6" t="s">
        <v>1269</v>
      </c>
      <c r="D33" s="12" t="s">
        <v>1328</v>
      </c>
      <c r="E33" s="6" t="s">
        <v>1271</v>
      </c>
      <c r="F33" s="6" t="s">
        <v>1329</v>
      </c>
    </row>
    <row r="34" customFormat="false" ht="15" hidden="false" customHeight="false" outlineLevel="0" collapsed="false">
      <c r="A34" s="6" t="s">
        <v>34</v>
      </c>
      <c r="B34" s="6" t="s">
        <v>143</v>
      </c>
      <c r="C34" s="6" t="s">
        <v>1262</v>
      </c>
      <c r="D34" s="12" t="s">
        <v>143</v>
      </c>
      <c r="E34" s="6" t="s">
        <v>1309</v>
      </c>
      <c r="F34" s="6" t="s">
        <v>1330</v>
      </c>
    </row>
    <row r="35" customFormat="false" ht="15" hidden="false" customHeight="false" outlineLevel="0" collapsed="false">
      <c r="A35" s="6" t="s">
        <v>34</v>
      </c>
      <c r="B35" s="6" t="s">
        <v>143</v>
      </c>
      <c r="C35" s="6" t="s">
        <v>1254</v>
      </c>
      <c r="D35" s="12" t="s">
        <v>1331</v>
      </c>
      <c r="E35" s="6" t="s">
        <v>1256</v>
      </c>
      <c r="F35" s="6" t="s">
        <v>1332</v>
      </c>
    </row>
    <row r="36" customFormat="false" ht="23.85" hidden="false" customHeight="false" outlineLevel="0" collapsed="false">
      <c r="A36" s="6" t="s">
        <v>34</v>
      </c>
      <c r="B36" s="6" t="s">
        <v>143</v>
      </c>
      <c r="C36" s="6" t="s">
        <v>1254</v>
      </c>
      <c r="D36" s="12" t="s">
        <v>1333</v>
      </c>
      <c r="E36" s="6" t="s">
        <v>1256</v>
      </c>
      <c r="F36" s="6" t="s">
        <v>1334</v>
      </c>
    </row>
    <row r="37" customFormat="false" ht="15" hidden="false" customHeight="false" outlineLevel="0" collapsed="false">
      <c r="A37" s="6" t="s">
        <v>34</v>
      </c>
      <c r="B37" s="6" t="s">
        <v>143</v>
      </c>
      <c r="C37" s="6" t="s">
        <v>1269</v>
      </c>
      <c r="D37" s="12" t="s">
        <v>1335</v>
      </c>
      <c r="E37" s="6" t="s">
        <v>1271</v>
      </c>
      <c r="F37" s="6" t="s">
        <v>1336</v>
      </c>
    </row>
    <row r="38" customFormat="false" ht="23.85" hidden="false" customHeight="false" outlineLevel="0" collapsed="false">
      <c r="A38" s="6" t="s">
        <v>34</v>
      </c>
      <c r="B38" s="6" t="s">
        <v>153</v>
      </c>
      <c r="C38" s="6" t="s">
        <v>1254</v>
      </c>
      <c r="D38" s="12" t="s">
        <v>1337</v>
      </c>
      <c r="E38" s="6" t="s">
        <v>1338</v>
      </c>
      <c r="F38" s="6" t="s">
        <v>1339</v>
      </c>
    </row>
    <row r="39" customFormat="false" ht="15" hidden="false" customHeight="false" outlineLevel="0" collapsed="false">
      <c r="A39" s="6" t="s">
        <v>34</v>
      </c>
      <c r="B39" s="6" t="s">
        <v>153</v>
      </c>
      <c r="C39" s="6" t="s">
        <v>1254</v>
      </c>
      <c r="D39" s="12" t="s">
        <v>1340</v>
      </c>
      <c r="E39" s="6" t="s">
        <v>1256</v>
      </c>
      <c r="F39" s="6" t="s">
        <v>1341</v>
      </c>
    </row>
    <row r="40" customFormat="false" ht="15" hidden="false" customHeight="false" outlineLevel="0" collapsed="false">
      <c r="A40" s="6" t="s">
        <v>34</v>
      </c>
      <c r="B40" s="6" t="s">
        <v>153</v>
      </c>
      <c r="C40" s="6" t="s">
        <v>1262</v>
      </c>
      <c r="D40" s="12" t="s">
        <v>1342</v>
      </c>
      <c r="E40" s="6" t="s">
        <v>1343</v>
      </c>
      <c r="F40" s="6" t="s">
        <v>1344</v>
      </c>
    </row>
    <row r="41" customFormat="false" ht="23.85" hidden="false" customHeight="false" outlineLevel="0" collapsed="false">
      <c r="A41" s="6" t="s">
        <v>34</v>
      </c>
      <c r="B41" s="6" t="s">
        <v>153</v>
      </c>
      <c r="C41" s="6" t="s">
        <v>1262</v>
      </c>
      <c r="D41" s="12" t="s">
        <v>1345</v>
      </c>
      <c r="E41" s="6" t="s">
        <v>1346</v>
      </c>
      <c r="F41" s="6" t="s">
        <v>1347</v>
      </c>
    </row>
    <row r="42" customFormat="false" ht="15" hidden="false" customHeight="false" outlineLevel="0" collapsed="false">
      <c r="A42" s="6" t="s">
        <v>34</v>
      </c>
      <c r="B42" s="6" t="s">
        <v>153</v>
      </c>
      <c r="C42" s="6" t="s">
        <v>1254</v>
      </c>
      <c r="D42" s="12" t="s">
        <v>1348</v>
      </c>
      <c r="E42" s="6" t="s">
        <v>1287</v>
      </c>
      <c r="F42" s="6" t="s">
        <v>1349</v>
      </c>
    </row>
    <row r="43" customFormat="false" ht="15" hidden="false" customHeight="false" outlineLevel="0" collapsed="false">
      <c r="A43" s="6" t="s">
        <v>34</v>
      </c>
      <c r="B43" s="6" t="s">
        <v>153</v>
      </c>
      <c r="C43" s="6" t="s">
        <v>1269</v>
      </c>
      <c r="D43" s="12" t="s">
        <v>1350</v>
      </c>
      <c r="E43" s="6" t="s">
        <v>1271</v>
      </c>
      <c r="F43" s="6" t="s">
        <v>1351</v>
      </c>
    </row>
    <row r="44" customFormat="false" ht="15" hidden="false" customHeight="false" outlineLevel="0" collapsed="false">
      <c r="A44" s="6" t="s">
        <v>34</v>
      </c>
      <c r="B44" s="6" t="s">
        <v>153</v>
      </c>
      <c r="C44" s="6" t="s">
        <v>1269</v>
      </c>
      <c r="D44" s="12" t="s">
        <v>1352</v>
      </c>
      <c r="E44" s="6" t="s">
        <v>1271</v>
      </c>
      <c r="F44" s="6" t="s">
        <v>1353</v>
      </c>
    </row>
    <row r="45" customFormat="false" ht="15" hidden="false" customHeight="false" outlineLevel="0" collapsed="false">
      <c r="A45" s="6" t="s">
        <v>34</v>
      </c>
      <c r="B45" s="6" t="s">
        <v>153</v>
      </c>
      <c r="C45" s="6" t="s">
        <v>1269</v>
      </c>
      <c r="D45" s="12" t="s">
        <v>1354</v>
      </c>
      <c r="E45" s="6" t="s">
        <v>1271</v>
      </c>
      <c r="F45" s="6" t="s">
        <v>1355</v>
      </c>
    </row>
    <row r="46" customFormat="false" ht="15" hidden="false" customHeight="false" outlineLevel="0" collapsed="false">
      <c r="A46" s="6" t="s">
        <v>34</v>
      </c>
      <c r="B46" s="6" t="s">
        <v>180</v>
      </c>
      <c r="C46" s="6" t="s">
        <v>1254</v>
      </c>
      <c r="D46" s="12" t="s">
        <v>1356</v>
      </c>
      <c r="E46" s="6" t="s">
        <v>1256</v>
      </c>
      <c r="F46" s="6" t="s">
        <v>1357</v>
      </c>
    </row>
    <row r="47" customFormat="false" ht="15" hidden="false" customHeight="false" outlineLevel="0" collapsed="false">
      <c r="A47" s="6" t="s">
        <v>34</v>
      </c>
      <c r="B47" s="6" t="s">
        <v>180</v>
      </c>
      <c r="C47" s="6" t="s">
        <v>1254</v>
      </c>
      <c r="D47" s="12" t="s">
        <v>1358</v>
      </c>
      <c r="E47" s="6" t="s">
        <v>1256</v>
      </c>
      <c r="F47" s="6" t="s">
        <v>1359</v>
      </c>
    </row>
    <row r="48" customFormat="false" ht="15" hidden="false" customHeight="false" outlineLevel="0" collapsed="false">
      <c r="A48" s="6" t="s">
        <v>34</v>
      </c>
      <c r="B48" s="6" t="s">
        <v>180</v>
      </c>
      <c r="C48" s="6" t="s">
        <v>1254</v>
      </c>
      <c r="D48" s="12" t="s">
        <v>1360</v>
      </c>
      <c r="E48" s="6" t="s">
        <v>1256</v>
      </c>
      <c r="F48" s="6" t="s">
        <v>1361</v>
      </c>
    </row>
    <row r="49" customFormat="false" ht="15" hidden="false" customHeight="false" outlineLevel="0" collapsed="false">
      <c r="A49" s="6" t="s">
        <v>34</v>
      </c>
      <c r="B49" s="6" t="s">
        <v>199</v>
      </c>
      <c r="C49" s="6" t="s">
        <v>1262</v>
      </c>
      <c r="D49" s="12" t="s">
        <v>1362</v>
      </c>
      <c r="E49" s="6" t="s">
        <v>1267</v>
      </c>
      <c r="F49" s="6" t="s">
        <v>1363</v>
      </c>
    </row>
    <row r="50" customFormat="false" ht="15" hidden="false" customHeight="false" outlineLevel="0" collapsed="false">
      <c r="A50" s="6" t="s">
        <v>34</v>
      </c>
      <c r="B50" s="6" t="s">
        <v>199</v>
      </c>
      <c r="C50" s="6" t="s">
        <v>1254</v>
      </c>
      <c r="D50" s="12" t="s">
        <v>1364</v>
      </c>
      <c r="E50" s="6" t="s">
        <v>1256</v>
      </c>
      <c r="F50" s="6" t="s">
        <v>1365</v>
      </c>
    </row>
    <row r="51" customFormat="false" ht="23.85" hidden="false" customHeight="false" outlineLevel="0" collapsed="false">
      <c r="A51" s="6" t="s">
        <v>34</v>
      </c>
      <c r="B51" s="6" t="s">
        <v>199</v>
      </c>
      <c r="C51" s="6" t="s">
        <v>1254</v>
      </c>
      <c r="D51" s="12" t="s">
        <v>1366</v>
      </c>
      <c r="E51" s="6" t="s">
        <v>1367</v>
      </c>
      <c r="F51" s="6" t="s">
        <v>1368</v>
      </c>
    </row>
    <row r="52" customFormat="false" ht="23.85" hidden="false" customHeight="false" outlineLevel="0" collapsed="false">
      <c r="A52" s="6" t="s">
        <v>34</v>
      </c>
      <c r="B52" s="6" t="s">
        <v>199</v>
      </c>
      <c r="C52" s="6" t="s">
        <v>1254</v>
      </c>
      <c r="D52" s="12" t="s">
        <v>1369</v>
      </c>
      <c r="E52" s="6" t="s">
        <v>1367</v>
      </c>
      <c r="F52" s="6" t="s">
        <v>1370</v>
      </c>
    </row>
    <row r="53" customFormat="false" ht="15" hidden="false" customHeight="false" outlineLevel="0" collapsed="false">
      <c r="A53" s="6" t="s">
        <v>34</v>
      </c>
      <c r="B53" s="6" t="s">
        <v>199</v>
      </c>
      <c r="C53" s="6" t="s">
        <v>1262</v>
      </c>
      <c r="D53" s="12" t="s">
        <v>1371</v>
      </c>
      <c r="E53" s="6" t="s">
        <v>1372</v>
      </c>
      <c r="F53" s="6" t="s">
        <v>1373</v>
      </c>
    </row>
    <row r="54" customFormat="false" ht="23.85" hidden="false" customHeight="false" outlineLevel="0" collapsed="false">
      <c r="A54" s="6" t="s">
        <v>34</v>
      </c>
      <c r="B54" s="6" t="s">
        <v>217</v>
      </c>
      <c r="C54" s="6" t="s">
        <v>1262</v>
      </c>
      <c r="D54" s="12" t="s">
        <v>1374</v>
      </c>
      <c r="E54" s="6" t="s">
        <v>1375</v>
      </c>
      <c r="F54" s="6" t="s">
        <v>1376</v>
      </c>
    </row>
    <row r="55" customFormat="false" ht="15" hidden="false" customHeight="false" outlineLevel="0" collapsed="false">
      <c r="A55" s="6" t="s">
        <v>34</v>
      </c>
      <c r="B55" s="6" t="s">
        <v>217</v>
      </c>
      <c r="C55" s="6" t="s">
        <v>1254</v>
      </c>
      <c r="D55" s="12" t="s">
        <v>1377</v>
      </c>
      <c r="E55" s="6" t="s">
        <v>1256</v>
      </c>
      <c r="F55" s="6" t="s">
        <v>1378</v>
      </c>
    </row>
    <row r="56" customFormat="false" ht="15" hidden="false" customHeight="false" outlineLevel="0" collapsed="false">
      <c r="A56" s="6" t="s">
        <v>34</v>
      </c>
      <c r="B56" s="6" t="s">
        <v>217</v>
      </c>
      <c r="C56" s="6" t="s">
        <v>1254</v>
      </c>
      <c r="D56" s="12" t="s">
        <v>1379</v>
      </c>
      <c r="E56" s="6" t="s">
        <v>1256</v>
      </c>
      <c r="F56" s="6" t="s">
        <v>1380</v>
      </c>
    </row>
    <row r="57" customFormat="false" ht="15" hidden="false" customHeight="false" outlineLevel="0" collapsed="false">
      <c r="A57" s="6" t="s">
        <v>34</v>
      </c>
      <c r="B57" s="6" t="s">
        <v>217</v>
      </c>
      <c r="C57" s="6" t="s">
        <v>1254</v>
      </c>
      <c r="D57" s="12" t="s">
        <v>1381</v>
      </c>
      <c r="E57" s="6" t="s">
        <v>1256</v>
      </c>
      <c r="F57" s="6" t="s">
        <v>1382</v>
      </c>
    </row>
    <row r="58" customFormat="false" ht="15" hidden="false" customHeight="false" outlineLevel="0" collapsed="false">
      <c r="A58" s="6" t="s">
        <v>34</v>
      </c>
      <c r="B58" s="6" t="s">
        <v>217</v>
      </c>
      <c r="C58" s="6" t="s">
        <v>1262</v>
      </c>
      <c r="D58" s="12" t="s">
        <v>1383</v>
      </c>
      <c r="E58" s="6" t="s">
        <v>1281</v>
      </c>
      <c r="F58" s="6" t="s">
        <v>1384</v>
      </c>
    </row>
    <row r="59" customFormat="false" ht="15" hidden="false" customHeight="false" outlineLevel="0" collapsed="false">
      <c r="A59" s="6" t="s">
        <v>34</v>
      </c>
      <c r="B59" s="6" t="s">
        <v>217</v>
      </c>
      <c r="C59" s="6" t="s">
        <v>1269</v>
      </c>
      <c r="D59" s="12" t="s">
        <v>1385</v>
      </c>
      <c r="E59" s="6" t="s">
        <v>1271</v>
      </c>
      <c r="F59" s="6" t="s">
        <v>1386</v>
      </c>
    </row>
    <row r="60" customFormat="false" ht="15" hidden="false" customHeight="false" outlineLevel="0" collapsed="false">
      <c r="A60" s="6" t="s">
        <v>34</v>
      </c>
      <c r="B60" s="6" t="s">
        <v>231</v>
      </c>
      <c r="C60" s="6" t="s">
        <v>1262</v>
      </c>
      <c r="D60" s="12" t="s">
        <v>1387</v>
      </c>
      <c r="E60" s="6" t="s">
        <v>1309</v>
      </c>
      <c r="F60" s="6" t="s">
        <v>1388</v>
      </c>
    </row>
    <row r="61" customFormat="false" ht="15" hidden="false" customHeight="false" outlineLevel="0" collapsed="false">
      <c r="A61" s="6" t="s">
        <v>34</v>
      </c>
      <c r="B61" s="6" t="s">
        <v>231</v>
      </c>
      <c r="C61" s="6" t="s">
        <v>1262</v>
      </c>
      <c r="D61" s="12" t="s">
        <v>1389</v>
      </c>
      <c r="E61" s="6" t="s">
        <v>1281</v>
      </c>
      <c r="F61" s="6" t="s">
        <v>1390</v>
      </c>
    </row>
    <row r="62" customFormat="false" ht="15" hidden="false" customHeight="false" outlineLevel="0" collapsed="false">
      <c r="A62" s="6" t="s">
        <v>34</v>
      </c>
      <c r="B62" s="6" t="s">
        <v>231</v>
      </c>
      <c r="C62" s="6" t="s">
        <v>1254</v>
      </c>
      <c r="D62" s="12" t="s">
        <v>1391</v>
      </c>
      <c r="E62" s="6" t="s">
        <v>1256</v>
      </c>
      <c r="F62" s="6" t="s">
        <v>1392</v>
      </c>
    </row>
    <row r="63" customFormat="false" ht="15" hidden="false" customHeight="false" outlineLevel="0" collapsed="false">
      <c r="A63" s="6" t="s">
        <v>34</v>
      </c>
      <c r="B63" s="6" t="s">
        <v>231</v>
      </c>
      <c r="C63" s="6" t="s">
        <v>1254</v>
      </c>
      <c r="D63" s="12" t="s">
        <v>1393</v>
      </c>
      <c r="E63" s="6" t="s">
        <v>1256</v>
      </c>
      <c r="F63" s="6" t="s">
        <v>1394</v>
      </c>
    </row>
    <row r="64" customFormat="false" ht="23.85" hidden="false" customHeight="false" outlineLevel="0" collapsed="false">
      <c r="A64" s="6" t="s">
        <v>34</v>
      </c>
      <c r="B64" s="6" t="s">
        <v>231</v>
      </c>
      <c r="C64" s="6" t="s">
        <v>1269</v>
      </c>
      <c r="D64" s="12" t="s">
        <v>1395</v>
      </c>
      <c r="E64" s="6" t="s">
        <v>1271</v>
      </c>
      <c r="F64" s="6" t="s">
        <v>1396</v>
      </c>
    </row>
    <row r="65" customFormat="false" ht="15" hidden="false" customHeight="false" outlineLevel="0" collapsed="false">
      <c r="A65" s="6" t="s">
        <v>34</v>
      </c>
      <c r="B65" s="6" t="s">
        <v>250</v>
      </c>
      <c r="C65" s="6" t="s">
        <v>1262</v>
      </c>
      <c r="D65" s="12" t="s">
        <v>1397</v>
      </c>
      <c r="E65" s="6" t="s">
        <v>1398</v>
      </c>
      <c r="F65" s="6" t="s">
        <v>1399</v>
      </c>
    </row>
    <row r="66" customFormat="false" ht="23.85" hidden="false" customHeight="false" outlineLevel="0" collapsed="false">
      <c r="A66" s="6" t="s">
        <v>34</v>
      </c>
      <c r="B66" s="6" t="s">
        <v>250</v>
      </c>
      <c r="C66" s="6" t="s">
        <v>1254</v>
      </c>
      <c r="D66" s="12" t="s">
        <v>1400</v>
      </c>
      <c r="E66" s="6" t="s">
        <v>1401</v>
      </c>
      <c r="F66" s="6" t="s">
        <v>1402</v>
      </c>
    </row>
    <row r="67" customFormat="false" ht="15" hidden="false" customHeight="false" outlineLevel="0" collapsed="false">
      <c r="A67" s="6" t="s">
        <v>34</v>
      </c>
      <c r="B67" s="6" t="s">
        <v>250</v>
      </c>
      <c r="C67" s="6" t="s">
        <v>1254</v>
      </c>
      <c r="D67" s="12" t="s">
        <v>1403</v>
      </c>
      <c r="E67" s="6" t="s">
        <v>1256</v>
      </c>
      <c r="F67" s="6" t="s">
        <v>1404</v>
      </c>
    </row>
    <row r="68" customFormat="false" ht="23.85" hidden="false" customHeight="false" outlineLevel="0" collapsed="false">
      <c r="A68" s="6" t="s">
        <v>34</v>
      </c>
      <c r="B68" s="6" t="s">
        <v>250</v>
      </c>
      <c r="C68" s="6" t="s">
        <v>1262</v>
      </c>
      <c r="D68" s="12" t="s">
        <v>1405</v>
      </c>
      <c r="E68" s="6" t="s">
        <v>1267</v>
      </c>
      <c r="F68" s="6" t="s">
        <v>1406</v>
      </c>
    </row>
    <row r="69" customFormat="false" ht="15" hidden="false" customHeight="false" outlineLevel="0" collapsed="false">
      <c r="A69" s="6" t="s">
        <v>34</v>
      </c>
      <c r="B69" s="6" t="s">
        <v>250</v>
      </c>
      <c r="C69" s="6" t="s">
        <v>1269</v>
      </c>
      <c r="D69" s="12" t="s">
        <v>1407</v>
      </c>
      <c r="E69" s="6" t="s">
        <v>1271</v>
      </c>
      <c r="F69" s="6" t="s">
        <v>1408</v>
      </c>
    </row>
    <row r="70" customFormat="false" ht="15" hidden="false" customHeight="false" outlineLevel="0" collapsed="false">
      <c r="A70" s="6" t="s">
        <v>34</v>
      </c>
      <c r="B70" s="6" t="s">
        <v>250</v>
      </c>
      <c r="C70" s="6" t="s">
        <v>1269</v>
      </c>
      <c r="D70" s="12" t="s">
        <v>1409</v>
      </c>
      <c r="E70" s="6" t="s">
        <v>1271</v>
      </c>
      <c r="F70" s="6" t="s">
        <v>1410</v>
      </c>
    </row>
    <row r="71" customFormat="false" ht="15" hidden="false" customHeight="false" outlineLevel="0" collapsed="false">
      <c r="A71" s="6" t="s">
        <v>34</v>
      </c>
      <c r="B71" s="6" t="s">
        <v>128</v>
      </c>
      <c r="C71" s="6" t="s">
        <v>1254</v>
      </c>
      <c r="D71" s="12" t="s">
        <v>1411</v>
      </c>
      <c r="E71" s="6" t="s">
        <v>1256</v>
      </c>
      <c r="F71" s="6" t="s">
        <v>1412</v>
      </c>
    </row>
    <row r="72" customFormat="false" ht="15" hidden="false" customHeight="false" outlineLevel="0" collapsed="false">
      <c r="A72" s="6" t="s">
        <v>34</v>
      </c>
      <c r="B72" s="6" t="s">
        <v>128</v>
      </c>
      <c r="C72" s="6" t="s">
        <v>1254</v>
      </c>
      <c r="D72" s="12" t="s">
        <v>1413</v>
      </c>
      <c r="E72" s="6" t="s">
        <v>1256</v>
      </c>
      <c r="F72" s="6" t="s">
        <v>1414</v>
      </c>
    </row>
    <row r="73" customFormat="false" ht="15" hidden="false" customHeight="false" outlineLevel="0" collapsed="false">
      <c r="A73" s="6" t="s">
        <v>34</v>
      </c>
      <c r="B73" s="6" t="s">
        <v>128</v>
      </c>
      <c r="C73" s="6" t="s">
        <v>1254</v>
      </c>
      <c r="D73" s="12" t="s">
        <v>1415</v>
      </c>
      <c r="E73" s="6" t="s">
        <v>1256</v>
      </c>
      <c r="F73" s="6" t="s">
        <v>1416</v>
      </c>
    </row>
    <row r="74" customFormat="false" ht="23.85" hidden="false" customHeight="false" outlineLevel="0" collapsed="false">
      <c r="A74" s="6" t="s">
        <v>34</v>
      </c>
      <c r="B74" s="6" t="s">
        <v>128</v>
      </c>
      <c r="C74" s="6" t="s">
        <v>1262</v>
      </c>
      <c r="D74" s="12" t="s">
        <v>1417</v>
      </c>
      <c r="E74" s="6" t="s">
        <v>1398</v>
      </c>
      <c r="F74" s="6" t="s">
        <v>1418</v>
      </c>
    </row>
    <row r="75" customFormat="false" ht="15" hidden="false" customHeight="false" outlineLevel="0" collapsed="false">
      <c r="A75" s="6" t="s">
        <v>34</v>
      </c>
      <c r="B75" s="6" t="s">
        <v>284</v>
      </c>
      <c r="C75" s="6" t="s">
        <v>1262</v>
      </c>
      <c r="D75" s="12" t="s">
        <v>1419</v>
      </c>
      <c r="E75" s="6" t="s">
        <v>1398</v>
      </c>
      <c r="F75" s="6" t="s">
        <v>1420</v>
      </c>
    </row>
    <row r="76" customFormat="false" ht="23.85" hidden="false" customHeight="false" outlineLevel="0" collapsed="false">
      <c r="A76" s="6" t="s">
        <v>34</v>
      </c>
      <c r="B76" s="6" t="s">
        <v>284</v>
      </c>
      <c r="C76" s="6" t="s">
        <v>1262</v>
      </c>
      <c r="D76" s="12" t="s">
        <v>1421</v>
      </c>
      <c r="E76" s="6" t="s">
        <v>1422</v>
      </c>
      <c r="F76" s="6" t="s">
        <v>1423</v>
      </c>
    </row>
    <row r="77" customFormat="false" ht="15" hidden="false" customHeight="false" outlineLevel="0" collapsed="false">
      <c r="A77" s="6" t="s">
        <v>34</v>
      </c>
      <c r="B77" s="6" t="s">
        <v>284</v>
      </c>
      <c r="C77" s="6" t="s">
        <v>1254</v>
      </c>
      <c r="D77" s="12" t="s">
        <v>1424</v>
      </c>
      <c r="E77" s="6" t="s">
        <v>1287</v>
      </c>
      <c r="F77" s="6" t="s">
        <v>1425</v>
      </c>
    </row>
    <row r="78" customFormat="false" ht="15" hidden="false" customHeight="false" outlineLevel="0" collapsed="false">
      <c r="A78" s="6" t="s">
        <v>34</v>
      </c>
      <c r="B78" s="6" t="s">
        <v>284</v>
      </c>
      <c r="C78" s="6" t="s">
        <v>1254</v>
      </c>
      <c r="D78" s="12" t="s">
        <v>1426</v>
      </c>
      <c r="E78" s="6" t="s">
        <v>1287</v>
      </c>
      <c r="F78" s="6" t="s">
        <v>1427</v>
      </c>
    </row>
    <row r="79" customFormat="false" ht="15" hidden="false" customHeight="false" outlineLevel="0" collapsed="false">
      <c r="A79" s="6" t="s">
        <v>34</v>
      </c>
      <c r="B79" s="6" t="s">
        <v>284</v>
      </c>
      <c r="C79" s="6" t="s">
        <v>1254</v>
      </c>
      <c r="D79" s="12" t="s">
        <v>1428</v>
      </c>
      <c r="E79" s="6" t="s">
        <v>1256</v>
      </c>
      <c r="F79" s="6" t="s">
        <v>1429</v>
      </c>
    </row>
    <row r="80" customFormat="false" ht="23.85" hidden="false" customHeight="false" outlineLevel="0" collapsed="false">
      <c r="A80" s="6" t="s">
        <v>34</v>
      </c>
      <c r="B80" s="6" t="s">
        <v>284</v>
      </c>
      <c r="C80" s="6" t="s">
        <v>1269</v>
      </c>
      <c r="D80" s="12" t="s">
        <v>1430</v>
      </c>
      <c r="E80" s="6" t="s">
        <v>1271</v>
      </c>
      <c r="F80" s="6" t="s">
        <v>1431</v>
      </c>
    </row>
    <row r="81" customFormat="false" ht="15" hidden="false" customHeight="false" outlineLevel="0" collapsed="false">
      <c r="A81" s="6" t="s">
        <v>34</v>
      </c>
      <c r="B81" s="6" t="s">
        <v>284</v>
      </c>
      <c r="C81" s="6" t="s">
        <v>1269</v>
      </c>
      <c r="D81" s="12" t="s">
        <v>1432</v>
      </c>
      <c r="E81" s="6" t="s">
        <v>1271</v>
      </c>
      <c r="F81" s="6" t="s">
        <v>1433</v>
      </c>
    </row>
    <row r="82" customFormat="false" ht="15" hidden="false" customHeight="false" outlineLevel="0" collapsed="false">
      <c r="A82" s="6" t="s">
        <v>34</v>
      </c>
      <c r="B82" s="6" t="s">
        <v>305</v>
      </c>
      <c r="C82" s="6" t="s">
        <v>1254</v>
      </c>
      <c r="D82" s="12" t="s">
        <v>1434</v>
      </c>
      <c r="E82" s="6" t="s">
        <v>1256</v>
      </c>
      <c r="F82" s="6" t="s">
        <v>1435</v>
      </c>
    </row>
    <row r="83" customFormat="false" ht="15" hidden="false" customHeight="false" outlineLevel="0" collapsed="false">
      <c r="A83" s="6" t="s">
        <v>34</v>
      </c>
      <c r="B83" s="6" t="s">
        <v>305</v>
      </c>
      <c r="C83" s="6" t="s">
        <v>1254</v>
      </c>
      <c r="D83" s="12" t="s">
        <v>1436</v>
      </c>
      <c r="E83" s="6" t="s">
        <v>1256</v>
      </c>
      <c r="F83" s="6" t="s">
        <v>1437</v>
      </c>
    </row>
    <row r="84" customFormat="false" ht="15" hidden="false" customHeight="false" outlineLevel="0" collapsed="false">
      <c r="A84" s="6" t="s">
        <v>34</v>
      </c>
      <c r="B84" s="6" t="s">
        <v>312</v>
      </c>
      <c r="C84" s="6" t="s">
        <v>1254</v>
      </c>
      <c r="D84" s="12" t="s">
        <v>1438</v>
      </c>
      <c r="E84" s="6" t="s">
        <v>1256</v>
      </c>
      <c r="F84" s="6" t="s">
        <v>1439</v>
      </c>
    </row>
    <row r="85" customFormat="false" ht="15" hidden="false" customHeight="false" outlineLevel="0" collapsed="false">
      <c r="A85" s="6" t="s">
        <v>34</v>
      </c>
      <c r="B85" s="6" t="s">
        <v>312</v>
      </c>
      <c r="C85" s="6" t="s">
        <v>1254</v>
      </c>
      <c r="D85" s="12" t="s">
        <v>1440</v>
      </c>
      <c r="E85" s="6" t="s">
        <v>1256</v>
      </c>
      <c r="F85" s="6" t="s">
        <v>1441</v>
      </c>
    </row>
    <row r="86" customFormat="false" ht="15" hidden="false" customHeight="false" outlineLevel="0" collapsed="false">
      <c r="A86" s="6" t="s">
        <v>34</v>
      </c>
      <c r="B86" s="6" t="s">
        <v>312</v>
      </c>
      <c r="C86" s="6" t="s">
        <v>1254</v>
      </c>
      <c r="D86" s="12" t="s">
        <v>1442</v>
      </c>
      <c r="E86" s="6" t="s">
        <v>1256</v>
      </c>
      <c r="F86" s="6" t="s">
        <v>1443</v>
      </c>
    </row>
    <row r="87" customFormat="false" ht="15" hidden="false" customHeight="false" outlineLevel="0" collapsed="false">
      <c r="A87" s="6" t="s">
        <v>34</v>
      </c>
      <c r="B87" s="6" t="s">
        <v>319</v>
      </c>
      <c r="C87" s="6" t="s">
        <v>1254</v>
      </c>
      <c r="D87" s="12" t="s">
        <v>1444</v>
      </c>
      <c r="E87" s="6" t="s">
        <v>1445</v>
      </c>
      <c r="F87" s="6" t="s">
        <v>1446</v>
      </c>
    </row>
    <row r="88" customFormat="false" ht="15" hidden="false" customHeight="false" outlineLevel="0" collapsed="false">
      <c r="A88" s="6" t="s">
        <v>34</v>
      </c>
      <c r="B88" s="6" t="s">
        <v>319</v>
      </c>
      <c r="C88" s="6" t="s">
        <v>1254</v>
      </c>
      <c r="D88" s="12" t="s">
        <v>1447</v>
      </c>
      <c r="E88" s="6" t="s">
        <v>1256</v>
      </c>
      <c r="F88" s="6" t="s">
        <v>1448</v>
      </c>
    </row>
    <row r="89" customFormat="false" ht="15" hidden="false" customHeight="false" outlineLevel="0" collapsed="false">
      <c r="A89" s="6" t="s">
        <v>34</v>
      </c>
      <c r="B89" s="6" t="s">
        <v>319</v>
      </c>
      <c r="C89" s="6" t="s">
        <v>1254</v>
      </c>
      <c r="D89" s="12" t="s">
        <v>1449</v>
      </c>
      <c r="E89" s="6" t="s">
        <v>1256</v>
      </c>
      <c r="F89" s="6" t="s">
        <v>1450</v>
      </c>
    </row>
    <row r="90" customFormat="false" ht="15" hidden="false" customHeight="false" outlineLevel="0" collapsed="false">
      <c r="A90" s="6" t="s">
        <v>34</v>
      </c>
      <c r="B90" s="6" t="s">
        <v>319</v>
      </c>
      <c r="C90" s="6" t="s">
        <v>1254</v>
      </c>
      <c r="D90" s="12" t="s">
        <v>1451</v>
      </c>
      <c r="E90" s="6" t="s">
        <v>1256</v>
      </c>
      <c r="F90" s="6" t="s">
        <v>1452</v>
      </c>
    </row>
    <row r="91" customFormat="false" ht="15" hidden="false" customHeight="false" outlineLevel="0" collapsed="false">
      <c r="A91" s="6" t="s">
        <v>34</v>
      </c>
      <c r="B91" s="6" t="s">
        <v>337</v>
      </c>
      <c r="C91" s="6" t="s">
        <v>1262</v>
      </c>
      <c r="D91" s="12" t="s">
        <v>1453</v>
      </c>
      <c r="E91" s="6" t="s">
        <v>1398</v>
      </c>
      <c r="F91" s="6" t="s">
        <v>1454</v>
      </c>
    </row>
    <row r="92" customFormat="false" ht="15" hidden="false" customHeight="false" outlineLevel="0" collapsed="false">
      <c r="A92" s="6" t="s">
        <v>34</v>
      </c>
      <c r="B92" s="6" t="s">
        <v>337</v>
      </c>
      <c r="C92" s="6" t="s">
        <v>1262</v>
      </c>
      <c r="D92" s="12" t="s">
        <v>1455</v>
      </c>
      <c r="E92" s="6" t="s">
        <v>1398</v>
      </c>
      <c r="F92" s="6" t="s">
        <v>1456</v>
      </c>
    </row>
    <row r="93" customFormat="false" ht="23.85" hidden="false" customHeight="false" outlineLevel="0" collapsed="false">
      <c r="A93" s="6" t="s">
        <v>34</v>
      </c>
      <c r="B93" s="6" t="s">
        <v>337</v>
      </c>
      <c r="C93" s="6" t="s">
        <v>1254</v>
      </c>
      <c r="D93" s="12" t="s">
        <v>1457</v>
      </c>
      <c r="E93" s="6" t="s">
        <v>1367</v>
      </c>
      <c r="F93" s="6" t="s">
        <v>1458</v>
      </c>
    </row>
    <row r="94" customFormat="false" ht="23.85" hidden="false" customHeight="false" outlineLevel="0" collapsed="false">
      <c r="A94" s="6" t="s">
        <v>34</v>
      </c>
      <c r="B94" s="6" t="s">
        <v>337</v>
      </c>
      <c r="C94" s="6" t="s">
        <v>1254</v>
      </c>
      <c r="D94" s="12" t="s">
        <v>1459</v>
      </c>
      <c r="E94" s="6" t="s">
        <v>1460</v>
      </c>
      <c r="F94" s="6" t="s">
        <v>1461</v>
      </c>
    </row>
    <row r="95" customFormat="false" ht="23.85" hidden="false" customHeight="false" outlineLevel="0" collapsed="false">
      <c r="A95" s="6" t="s">
        <v>34</v>
      </c>
      <c r="B95" s="6" t="s">
        <v>337</v>
      </c>
      <c r="C95" s="6" t="s">
        <v>1262</v>
      </c>
      <c r="D95" s="12" t="s">
        <v>1462</v>
      </c>
      <c r="E95" s="6" t="s">
        <v>1463</v>
      </c>
      <c r="F95" s="6" t="s">
        <v>1464</v>
      </c>
    </row>
    <row r="96" customFormat="false" ht="23.85" hidden="false" customHeight="false" outlineLevel="0" collapsed="false">
      <c r="A96" s="6" t="s">
        <v>34</v>
      </c>
      <c r="B96" s="6" t="s">
        <v>352</v>
      </c>
      <c r="C96" s="6" t="s">
        <v>1262</v>
      </c>
      <c r="D96" s="12" t="s">
        <v>1465</v>
      </c>
      <c r="E96" s="6" t="s">
        <v>1398</v>
      </c>
      <c r="F96" s="6" t="s">
        <v>1466</v>
      </c>
    </row>
    <row r="97" customFormat="false" ht="23.85" hidden="false" customHeight="false" outlineLevel="0" collapsed="false">
      <c r="A97" s="6" t="s">
        <v>34</v>
      </c>
      <c r="B97" s="6" t="s">
        <v>352</v>
      </c>
      <c r="C97" s="6" t="s">
        <v>1262</v>
      </c>
      <c r="D97" s="12" t="s">
        <v>1467</v>
      </c>
      <c r="E97" s="6" t="s">
        <v>1468</v>
      </c>
      <c r="F97" s="6" t="s">
        <v>1469</v>
      </c>
    </row>
    <row r="98" customFormat="false" ht="15" hidden="false" customHeight="false" outlineLevel="0" collapsed="false">
      <c r="A98" s="6" t="s">
        <v>34</v>
      </c>
      <c r="B98" s="6" t="s">
        <v>352</v>
      </c>
      <c r="C98" s="6" t="s">
        <v>1262</v>
      </c>
      <c r="D98" s="12" t="s">
        <v>1470</v>
      </c>
      <c r="E98" s="6" t="s">
        <v>1471</v>
      </c>
      <c r="F98" s="6" t="s">
        <v>1472</v>
      </c>
    </row>
    <row r="99" customFormat="false" ht="23.85" hidden="false" customHeight="false" outlineLevel="0" collapsed="false">
      <c r="A99" s="6" t="s">
        <v>34</v>
      </c>
      <c r="B99" s="6" t="s">
        <v>358</v>
      </c>
      <c r="C99" s="6" t="s">
        <v>1262</v>
      </c>
      <c r="D99" s="12" t="s">
        <v>1473</v>
      </c>
      <c r="E99" s="6" t="s">
        <v>1267</v>
      </c>
      <c r="F99" s="6" t="s">
        <v>1474</v>
      </c>
    </row>
    <row r="100" customFormat="false" ht="23.85" hidden="false" customHeight="false" outlineLevel="0" collapsed="false">
      <c r="A100" s="6" t="s">
        <v>34</v>
      </c>
      <c r="B100" s="6" t="s">
        <v>358</v>
      </c>
      <c r="C100" s="6" t="s">
        <v>1262</v>
      </c>
      <c r="D100" s="12" t="s">
        <v>1266</v>
      </c>
      <c r="E100" s="6" t="s">
        <v>1267</v>
      </c>
      <c r="F100" s="6" t="s">
        <v>1268</v>
      </c>
    </row>
    <row r="101" customFormat="false" ht="15" hidden="false" customHeight="false" outlineLevel="0" collapsed="false">
      <c r="A101" s="6" t="s">
        <v>34</v>
      </c>
      <c r="B101" s="6" t="s">
        <v>358</v>
      </c>
      <c r="C101" s="6" t="s">
        <v>1254</v>
      </c>
      <c r="D101" s="12" t="s">
        <v>1475</v>
      </c>
      <c r="E101" s="6" t="s">
        <v>1284</v>
      </c>
      <c r="F101" s="6" t="s">
        <v>1476</v>
      </c>
    </row>
    <row r="102" customFormat="false" ht="23.85" hidden="false" customHeight="false" outlineLevel="0" collapsed="false">
      <c r="A102" s="6" t="s">
        <v>34</v>
      </c>
      <c r="B102" s="6" t="s">
        <v>358</v>
      </c>
      <c r="C102" s="6" t="s">
        <v>1254</v>
      </c>
      <c r="D102" s="12" t="s">
        <v>1477</v>
      </c>
      <c r="E102" s="6" t="s">
        <v>1478</v>
      </c>
      <c r="F102" s="6" t="s">
        <v>1479</v>
      </c>
    </row>
    <row r="103" customFormat="false" ht="15" hidden="false" customHeight="false" outlineLevel="0" collapsed="false">
      <c r="A103" s="6" t="s">
        <v>34</v>
      </c>
      <c r="B103" s="6" t="s">
        <v>358</v>
      </c>
      <c r="C103" s="6" t="s">
        <v>1269</v>
      </c>
      <c r="D103" s="12" t="s">
        <v>1335</v>
      </c>
      <c r="E103" s="6" t="s">
        <v>1271</v>
      </c>
      <c r="F103" s="6" t="s">
        <v>1336</v>
      </c>
    </row>
    <row r="104" customFormat="false" ht="15" hidden="false" customHeight="false" outlineLevel="0" collapsed="false">
      <c r="A104" s="6" t="s">
        <v>34</v>
      </c>
      <c r="B104" s="6" t="s">
        <v>377</v>
      </c>
      <c r="C104" s="6" t="s">
        <v>1254</v>
      </c>
      <c r="D104" s="12" t="s">
        <v>1480</v>
      </c>
      <c r="E104" s="6" t="s">
        <v>1287</v>
      </c>
      <c r="F104" s="6" t="s">
        <v>1481</v>
      </c>
    </row>
    <row r="105" customFormat="false" ht="15" hidden="false" customHeight="false" outlineLevel="0" collapsed="false">
      <c r="A105" s="6" t="s">
        <v>34</v>
      </c>
      <c r="B105" s="6" t="s">
        <v>377</v>
      </c>
      <c r="C105" s="6" t="s">
        <v>1254</v>
      </c>
      <c r="D105" s="12" t="s">
        <v>1482</v>
      </c>
      <c r="E105" s="6" t="s">
        <v>1284</v>
      </c>
      <c r="F105" s="6" t="s">
        <v>1483</v>
      </c>
    </row>
    <row r="106" customFormat="false" ht="15" hidden="false" customHeight="false" outlineLevel="0" collapsed="false">
      <c r="A106" s="6" t="s">
        <v>34</v>
      </c>
      <c r="B106" s="6" t="s">
        <v>377</v>
      </c>
      <c r="C106" s="6" t="s">
        <v>1262</v>
      </c>
      <c r="D106" s="12" t="s">
        <v>1484</v>
      </c>
      <c r="E106" s="6" t="s">
        <v>1485</v>
      </c>
      <c r="F106" s="6" t="s">
        <v>1486</v>
      </c>
    </row>
    <row r="107" customFormat="false" ht="15" hidden="false" customHeight="false" outlineLevel="0" collapsed="false">
      <c r="A107" s="6" t="s">
        <v>34</v>
      </c>
      <c r="B107" s="6" t="s">
        <v>377</v>
      </c>
      <c r="C107" s="6" t="s">
        <v>1262</v>
      </c>
      <c r="D107" s="12" t="s">
        <v>1487</v>
      </c>
      <c r="E107" s="6" t="s">
        <v>1488</v>
      </c>
      <c r="F107" s="6" t="s">
        <v>1489</v>
      </c>
    </row>
    <row r="108" customFormat="false" ht="15" hidden="false" customHeight="false" outlineLevel="0" collapsed="false">
      <c r="A108" s="6" t="s">
        <v>34</v>
      </c>
      <c r="B108" s="6" t="s">
        <v>377</v>
      </c>
      <c r="C108" s="6" t="s">
        <v>1269</v>
      </c>
      <c r="D108" s="12" t="s">
        <v>1490</v>
      </c>
      <c r="E108" s="6" t="s">
        <v>1271</v>
      </c>
      <c r="F108" s="6" t="s">
        <v>1491</v>
      </c>
    </row>
    <row r="109" customFormat="false" ht="23.85" hidden="false" customHeight="false" outlineLevel="0" collapsed="false">
      <c r="A109" s="6" t="s">
        <v>34</v>
      </c>
      <c r="B109" s="6" t="s">
        <v>377</v>
      </c>
      <c r="C109" s="6" t="s">
        <v>1269</v>
      </c>
      <c r="D109" s="12" t="s">
        <v>1492</v>
      </c>
      <c r="E109" s="6" t="s">
        <v>1271</v>
      </c>
      <c r="F109" s="6" t="s">
        <v>1493</v>
      </c>
    </row>
    <row r="110" customFormat="false" ht="23.85" hidden="false" customHeight="false" outlineLevel="0" collapsed="false">
      <c r="A110" s="6" t="s">
        <v>34</v>
      </c>
      <c r="B110" s="6" t="s">
        <v>411</v>
      </c>
      <c r="C110" s="6" t="s">
        <v>1254</v>
      </c>
      <c r="D110" s="12" t="s">
        <v>1494</v>
      </c>
      <c r="E110" s="6" t="s">
        <v>1478</v>
      </c>
      <c r="F110" s="6" t="s">
        <v>1495</v>
      </c>
    </row>
    <row r="111" customFormat="false" ht="23.85" hidden="false" customHeight="false" outlineLevel="0" collapsed="false">
      <c r="A111" s="6" t="s">
        <v>34</v>
      </c>
      <c r="B111" s="6" t="s">
        <v>411</v>
      </c>
      <c r="C111" s="6" t="s">
        <v>1254</v>
      </c>
      <c r="D111" s="12" t="s">
        <v>1496</v>
      </c>
      <c r="E111" s="6" t="s">
        <v>1478</v>
      </c>
      <c r="F111" s="6" t="s">
        <v>1497</v>
      </c>
    </row>
    <row r="112" customFormat="false" ht="23.85" hidden="false" customHeight="false" outlineLevel="0" collapsed="false">
      <c r="A112" s="6" t="s">
        <v>34</v>
      </c>
      <c r="B112" s="6" t="s">
        <v>411</v>
      </c>
      <c r="C112" s="6" t="s">
        <v>1262</v>
      </c>
      <c r="D112" s="12" t="s">
        <v>1498</v>
      </c>
      <c r="E112" s="6" t="s">
        <v>1499</v>
      </c>
      <c r="F112" s="6" t="s">
        <v>1500</v>
      </c>
    </row>
    <row r="113" customFormat="false" ht="23.85" hidden="false" customHeight="false" outlineLevel="0" collapsed="false">
      <c r="A113" s="6" t="s">
        <v>34</v>
      </c>
      <c r="B113" s="6" t="s">
        <v>411</v>
      </c>
      <c r="C113" s="6" t="s">
        <v>1262</v>
      </c>
      <c r="D113" s="12" t="s">
        <v>1501</v>
      </c>
      <c r="E113" s="6" t="s">
        <v>1502</v>
      </c>
      <c r="F113" s="6" t="s">
        <v>1503</v>
      </c>
    </row>
    <row r="114" customFormat="false" ht="15" hidden="false" customHeight="false" outlineLevel="0" collapsed="false">
      <c r="A114" s="6" t="s">
        <v>34</v>
      </c>
      <c r="B114" s="6" t="s">
        <v>411</v>
      </c>
      <c r="C114" s="6" t="s">
        <v>1269</v>
      </c>
      <c r="D114" s="12" t="s">
        <v>1504</v>
      </c>
      <c r="E114" s="6" t="s">
        <v>1271</v>
      </c>
      <c r="F114" s="6" t="s">
        <v>1505</v>
      </c>
    </row>
    <row r="115" customFormat="false" ht="23.85" hidden="false" customHeight="false" outlineLevel="0" collapsed="false">
      <c r="A115" s="6" t="s">
        <v>34</v>
      </c>
      <c r="B115" s="6" t="s">
        <v>411</v>
      </c>
      <c r="C115" s="6" t="s">
        <v>1269</v>
      </c>
      <c r="D115" s="12" t="s">
        <v>1506</v>
      </c>
      <c r="E115" s="6" t="s">
        <v>1271</v>
      </c>
      <c r="F115" s="6" t="s">
        <v>1507</v>
      </c>
    </row>
    <row r="116" customFormat="false" ht="15" hidden="false" customHeight="false" outlineLevel="0" collapsed="false">
      <c r="A116" s="6" t="s">
        <v>34</v>
      </c>
      <c r="B116" s="6" t="s">
        <v>430</v>
      </c>
      <c r="C116" s="6" t="s">
        <v>1262</v>
      </c>
      <c r="D116" s="12" t="s">
        <v>1508</v>
      </c>
      <c r="E116" s="6" t="s">
        <v>1488</v>
      </c>
      <c r="F116" s="6" t="s">
        <v>1509</v>
      </c>
    </row>
    <row r="117" customFormat="false" ht="15" hidden="false" customHeight="false" outlineLevel="0" collapsed="false">
      <c r="A117" s="6" t="s">
        <v>34</v>
      </c>
      <c r="B117" s="6" t="s">
        <v>430</v>
      </c>
      <c r="C117" s="6" t="s">
        <v>1254</v>
      </c>
      <c r="D117" s="12" t="s">
        <v>1510</v>
      </c>
      <c r="E117" s="6" t="s">
        <v>1287</v>
      </c>
      <c r="F117" s="6" t="s">
        <v>1511</v>
      </c>
    </row>
    <row r="118" customFormat="false" ht="15" hidden="false" customHeight="false" outlineLevel="0" collapsed="false">
      <c r="A118" s="6" t="s">
        <v>34</v>
      </c>
      <c r="B118" s="6" t="s">
        <v>430</v>
      </c>
      <c r="C118" s="6" t="s">
        <v>1254</v>
      </c>
      <c r="D118" s="12" t="s">
        <v>1512</v>
      </c>
      <c r="E118" s="6" t="s">
        <v>1287</v>
      </c>
      <c r="F118" s="6" t="s">
        <v>1513</v>
      </c>
    </row>
    <row r="119" customFormat="false" ht="15" hidden="false" customHeight="false" outlineLevel="0" collapsed="false">
      <c r="A119" s="6" t="s">
        <v>34</v>
      </c>
      <c r="B119" s="6" t="s">
        <v>430</v>
      </c>
      <c r="C119" s="6" t="s">
        <v>1262</v>
      </c>
      <c r="D119" s="12" t="s">
        <v>1514</v>
      </c>
      <c r="E119" s="6" t="s">
        <v>1515</v>
      </c>
      <c r="F119" s="6" t="s">
        <v>1516</v>
      </c>
    </row>
    <row r="120" customFormat="false" ht="23.85" hidden="false" customHeight="false" outlineLevel="0" collapsed="false">
      <c r="A120" s="6" t="s">
        <v>34</v>
      </c>
      <c r="B120" s="6" t="s">
        <v>445</v>
      </c>
      <c r="C120" s="6" t="s">
        <v>1254</v>
      </c>
      <c r="D120" s="12" t="s">
        <v>1517</v>
      </c>
      <c r="E120" s="6" t="s">
        <v>1518</v>
      </c>
      <c r="F120" s="6" t="s">
        <v>1519</v>
      </c>
    </row>
    <row r="121" customFormat="false" ht="23.85" hidden="false" customHeight="false" outlineLevel="0" collapsed="false">
      <c r="A121" s="6" t="s">
        <v>34</v>
      </c>
      <c r="B121" s="6" t="s">
        <v>445</v>
      </c>
      <c r="C121" s="6" t="s">
        <v>1254</v>
      </c>
      <c r="D121" s="12" t="s">
        <v>1520</v>
      </c>
      <c r="E121" s="6" t="s">
        <v>1521</v>
      </c>
      <c r="F121" s="6" t="s">
        <v>1522</v>
      </c>
    </row>
    <row r="122" customFormat="false" ht="23.85" hidden="false" customHeight="false" outlineLevel="0" collapsed="false">
      <c r="A122" s="6" t="s">
        <v>34</v>
      </c>
      <c r="B122" s="6" t="s">
        <v>445</v>
      </c>
      <c r="C122" s="6" t="s">
        <v>1262</v>
      </c>
      <c r="D122" s="12" t="s">
        <v>1417</v>
      </c>
      <c r="E122" s="6" t="s">
        <v>1488</v>
      </c>
      <c r="F122" s="6" t="s">
        <v>1418</v>
      </c>
    </row>
    <row r="123" customFormat="false" ht="15" hidden="false" customHeight="false" outlineLevel="0" collapsed="false">
      <c r="A123" s="6" t="s">
        <v>34</v>
      </c>
      <c r="B123" s="6" t="s">
        <v>456</v>
      </c>
      <c r="C123" s="6" t="s">
        <v>1262</v>
      </c>
      <c r="D123" s="12" t="s">
        <v>1523</v>
      </c>
      <c r="E123" s="6" t="s">
        <v>1488</v>
      </c>
      <c r="F123" s="6" t="s">
        <v>1524</v>
      </c>
    </row>
    <row r="124" customFormat="false" ht="15" hidden="false" customHeight="false" outlineLevel="0" collapsed="false">
      <c r="A124" s="6" t="s">
        <v>34</v>
      </c>
      <c r="B124" s="6" t="s">
        <v>456</v>
      </c>
      <c r="C124" s="6" t="s">
        <v>1262</v>
      </c>
      <c r="D124" s="12" t="s">
        <v>1525</v>
      </c>
      <c r="E124" s="6" t="s">
        <v>1488</v>
      </c>
      <c r="F124" s="6" t="s">
        <v>1526</v>
      </c>
    </row>
    <row r="125" customFormat="false" ht="15" hidden="false" customHeight="false" outlineLevel="0" collapsed="false">
      <c r="A125" s="6" t="s">
        <v>34</v>
      </c>
      <c r="B125" s="6" t="s">
        <v>456</v>
      </c>
      <c r="C125" s="6" t="s">
        <v>1254</v>
      </c>
      <c r="D125" s="12" t="s">
        <v>1527</v>
      </c>
      <c r="E125" s="6" t="s">
        <v>1287</v>
      </c>
      <c r="F125" s="6" t="s">
        <v>1528</v>
      </c>
    </row>
    <row r="126" customFormat="false" ht="23.85" hidden="false" customHeight="false" outlineLevel="0" collapsed="false">
      <c r="A126" s="6" t="s">
        <v>34</v>
      </c>
      <c r="B126" s="6" t="s">
        <v>456</v>
      </c>
      <c r="C126" s="6" t="s">
        <v>1254</v>
      </c>
      <c r="D126" s="12" t="s">
        <v>1529</v>
      </c>
      <c r="E126" s="6" t="s">
        <v>1518</v>
      </c>
      <c r="F126" s="6" t="s">
        <v>1530</v>
      </c>
    </row>
    <row r="127" customFormat="false" ht="23.85" hidden="false" customHeight="false" outlineLevel="0" collapsed="false">
      <c r="A127" s="6" t="s">
        <v>34</v>
      </c>
      <c r="B127" s="6" t="s">
        <v>456</v>
      </c>
      <c r="C127" s="6" t="s">
        <v>1254</v>
      </c>
      <c r="D127" s="12" t="s">
        <v>1379</v>
      </c>
      <c r="E127" s="6" t="s">
        <v>1518</v>
      </c>
      <c r="F127" s="6" t="s">
        <v>1380</v>
      </c>
    </row>
    <row r="128" customFormat="false" ht="15" hidden="false" customHeight="false" outlineLevel="0" collapsed="false">
      <c r="A128" s="6" t="s">
        <v>34</v>
      </c>
      <c r="B128" s="6" t="s">
        <v>456</v>
      </c>
      <c r="C128" s="6" t="s">
        <v>1269</v>
      </c>
      <c r="D128" s="12" t="s">
        <v>1531</v>
      </c>
      <c r="E128" s="6" t="s">
        <v>1271</v>
      </c>
      <c r="F128" s="6" t="s">
        <v>1532</v>
      </c>
    </row>
    <row r="129" customFormat="false" ht="15" hidden="false" customHeight="false" outlineLevel="0" collapsed="false">
      <c r="A129" s="6" t="s">
        <v>483</v>
      </c>
      <c r="B129" s="6" t="s">
        <v>483</v>
      </c>
      <c r="C129" s="6" t="s">
        <v>1262</v>
      </c>
      <c r="D129" s="12" t="s">
        <v>1533</v>
      </c>
      <c r="E129" s="6" t="s">
        <v>1488</v>
      </c>
      <c r="F129" s="6" t="s">
        <v>1534</v>
      </c>
    </row>
    <row r="130" customFormat="false" ht="15" hidden="false" customHeight="false" outlineLevel="0" collapsed="false">
      <c r="A130" s="6" t="s">
        <v>483</v>
      </c>
      <c r="B130" s="6" t="s">
        <v>483</v>
      </c>
      <c r="C130" s="6" t="s">
        <v>1254</v>
      </c>
      <c r="D130" s="12" t="s">
        <v>1535</v>
      </c>
      <c r="E130" s="6" t="s">
        <v>1287</v>
      </c>
      <c r="F130" s="6" t="s">
        <v>1536</v>
      </c>
    </row>
    <row r="131" customFormat="false" ht="23.85" hidden="false" customHeight="false" outlineLevel="0" collapsed="false">
      <c r="A131" s="6" t="s">
        <v>483</v>
      </c>
      <c r="B131" s="6" t="s">
        <v>483</v>
      </c>
      <c r="C131" s="6" t="s">
        <v>1254</v>
      </c>
      <c r="D131" s="12" t="s">
        <v>1537</v>
      </c>
      <c r="E131" s="6" t="s">
        <v>1538</v>
      </c>
      <c r="F131" s="6" t="s">
        <v>1539</v>
      </c>
    </row>
    <row r="132" customFormat="false" ht="15" hidden="false" customHeight="false" outlineLevel="0" collapsed="false">
      <c r="A132" s="6" t="s">
        <v>483</v>
      </c>
      <c r="B132" s="6" t="s">
        <v>483</v>
      </c>
      <c r="C132" s="6" t="s">
        <v>1262</v>
      </c>
      <c r="D132" s="12" t="s">
        <v>1540</v>
      </c>
      <c r="E132" s="6" t="s">
        <v>1488</v>
      </c>
      <c r="F132" s="6" t="s">
        <v>1541</v>
      </c>
    </row>
    <row r="133" customFormat="false" ht="15" hidden="false" customHeight="false" outlineLevel="0" collapsed="false">
      <c r="A133" s="6" t="s">
        <v>483</v>
      </c>
      <c r="B133" s="6" t="s">
        <v>483</v>
      </c>
      <c r="C133" s="6" t="s">
        <v>1254</v>
      </c>
      <c r="D133" s="12" t="s">
        <v>1542</v>
      </c>
      <c r="E133" s="6" t="s">
        <v>1543</v>
      </c>
      <c r="F133" s="6" t="s">
        <v>1544</v>
      </c>
    </row>
    <row r="134" customFormat="false" ht="23.85" hidden="false" customHeight="false" outlineLevel="0" collapsed="false">
      <c r="A134" s="6" t="s">
        <v>483</v>
      </c>
      <c r="B134" s="6" t="s">
        <v>483</v>
      </c>
      <c r="C134" s="6" t="s">
        <v>1269</v>
      </c>
      <c r="D134" s="12" t="s">
        <v>1545</v>
      </c>
      <c r="E134" s="6" t="s">
        <v>1271</v>
      </c>
      <c r="F134" s="6" t="s">
        <v>1546</v>
      </c>
    </row>
    <row r="135" customFormat="false" ht="15" hidden="false" customHeight="false" outlineLevel="0" collapsed="false">
      <c r="A135" s="6" t="s">
        <v>514</v>
      </c>
      <c r="B135" s="6" t="s">
        <v>514</v>
      </c>
      <c r="C135" s="6" t="s">
        <v>1262</v>
      </c>
      <c r="D135" s="12" t="s">
        <v>1547</v>
      </c>
      <c r="E135" s="6" t="s">
        <v>1488</v>
      </c>
      <c r="F135" s="6" t="s">
        <v>1548</v>
      </c>
    </row>
    <row r="136" customFormat="false" ht="15" hidden="false" customHeight="false" outlineLevel="0" collapsed="false">
      <c r="A136" s="6" t="s">
        <v>514</v>
      </c>
      <c r="B136" s="6" t="s">
        <v>514</v>
      </c>
      <c r="C136" s="6" t="s">
        <v>1262</v>
      </c>
      <c r="D136" s="12" t="s">
        <v>1549</v>
      </c>
      <c r="E136" s="6" t="s">
        <v>1488</v>
      </c>
      <c r="F136" s="6" t="s">
        <v>1550</v>
      </c>
    </row>
    <row r="137" customFormat="false" ht="23.85" hidden="false" customHeight="false" outlineLevel="0" collapsed="false">
      <c r="A137" s="6" t="s">
        <v>514</v>
      </c>
      <c r="B137" s="6" t="s">
        <v>514</v>
      </c>
      <c r="C137" s="6" t="s">
        <v>1254</v>
      </c>
      <c r="D137" s="12" t="s">
        <v>1477</v>
      </c>
      <c r="E137" s="6" t="s">
        <v>1478</v>
      </c>
      <c r="F137" s="6" t="s">
        <v>1479</v>
      </c>
    </row>
    <row r="138" customFormat="false" ht="23.85" hidden="false" customHeight="false" outlineLevel="0" collapsed="false">
      <c r="A138" s="6" t="s">
        <v>514</v>
      </c>
      <c r="B138" s="6" t="s">
        <v>514</v>
      </c>
      <c r="C138" s="6" t="s">
        <v>1254</v>
      </c>
      <c r="D138" s="12" t="s">
        <v>1551</v>
      </c>
      <c r="E138" s="6" t="s">
        <v>1552</v>
      </c>
      <c r="F138" s="6" t="s">
        <v>1553</v>
      </c>
    </row>
    <row r="139" customFormat="false" ht="15" hidden="false" customHeight="false" outlineLevel="0" collapsed="false">
      <c r="A139" s="6" t="s">
        <v>514</v>
      </c>
      <c r="B139" s="6" t="s">
        <v>514</v>
      </c>
      <c r="C139" s="6" t="s">
        <v>1269</v>
      </c>
      <c r="D139" s="12" t="s">
        <v>1554</v>
      </c>
      <c r="E139" s="6" t="s">
        <v>1271</v>
      </c>
      <c r="F139" s="6" t="s">
        <v>1555</v>
      </c>
    </row>
    <row r="140" customFormat="false" ht="23.85" hidden="false" customHeight="false" outlineLevel="0" collapsed="false">
      <c r="A140" s="6" t="s">
        <v>526</v>
      </c>
      <c r="B140" s="6" t="s">
        <v>527</v>
      </c>
      <c r="C140" s="6" t="s">
        <v>1262</v>
      </c>
      <c r="D140" s="12" t="s">
        <v>1556</v>
      </c>
      <c r="E140" s="6" t="s">
        <v>1557</v>
      </c>
      <c r="F140" s="6" t="s">
        <v>1558</v>
      </c>
    </row>
    <row r="141" customFormat="false" ht="23.85" hidden="false" customHeight="false" outlineLevel="0" collapsed="false">
      <c r="A141" s="6" t="s">
        <v>526</v>
      </c>
      <c r="B141" s="6" t="s">
        <v>527</v>
      </c>
      <c r="C141" s="6" t="s">
        <v>1254</v>
      </c>
      <c r="D141" s="12" t="s">
        <v>1559</v>
      </c>
      <c r="E141" s="6" t="s">
        <v>1256</v>
      </c>
      <c r="F141" s="6" t="s">
        <v>1560</v>
      </c>
    </row>
    <row r="142" customFormat="false" ht="23.85" hidden="false" customHeight="false" outlineLevel="0" collapsed="false">
      <c r="A142" s="6" t="s">
        <v>526</v>
      </c>
      <c r="B142" s="6" t="s">
        <v>527</v>
      </c>
      <c r="C142" s="6" t="s">
        <v>1254</v>
      </c>
      <c r="D142" s="12" t="s">
        <v>1561</v>
      </c>
      <c r="E142" s="6" t="s">
        <v>1256</v>
      </c>
      <c r="F142" s="6" t="s">
        <v>1562</v>
      </c>
    </row>
    <row r="143" customFormat="false" ht="23.85" hidden="false" customHeight="false" outlineLevel="0" collapsed="false">
      <c r="A143" s="6" t="s">
        <v>526</v>
      </c>
      <c r="B143" s="6" t="s">
        <v>527</v>
      </c>
      <c r="C143" s="6" t="s">
        <v>1254</v>
      </c>
      <c r="D143" s="12" t="s">
        <v>1563</v>
      </c>
      <c r="E143" s="6" t="s">
        <v>1564</v>
      </c>
      <c r="F143" s="6" t="s">
        <v>1565</v>
      </c>
    </row>
    <row r="144" customFormat="false" ht="23.85" hidden="false" customHeight="false" outlineLevel="0" collapsed="false">
      <c r="A144" s="6" t="s">
        <v>526</v>
      </c>
      <c r="B144" s="6" t="s">
        <v>539</v>
      </c>
      <c r="C144" s="6" t="s">
        <v>1254</v>
      </c>
      <c r="D144" s="12" t="s">
        <v>1566</v>
      </c>
      <c r="E144" s="6" t="s">
        <v>1256</v>
      </c>
      <c r="F144" s="6" t="s">
        <v>1567</v>
      </c>
    </row>
    <row r="145" customFormat="false" ht="23.85" hidden="false" customHeight="false" outlineLevel="0" collapsed="false">
      <c r="A145" s="6" t="s">
        <v>526</v>
      </c>
      <c r="B145" s="6" t="s">
        <v>539</v>
      </c>
      <c r="C145" s="6" t="s">
        <v>1254</v>
      </c>
      <c r="D145" s="12" t="s">
        <v>1568</v>
      </c>
      <c r="E145" s="6" t="s">
        <v>1256</v>
      </c>
      <c r="F145" s="6" t="s">
        <v>1569</v>
      </c>
    </row>
    <row r="146" customFormat="false" ht="23.85" hidden="false" customHeight="false" outlineLevel="0" collapsed="false">
      <c r="A146" s="6" t="s">
        <v>526</v>
      </c>
      <c r="B146" s="6" t="s">
        <v>539</v>
      </c>
      <c r="C146" s="6" t="s">
        <v>1254</v>
      </c>
      <c r="D146" s="12" t="s">
        <v>1570</v>
      </c>
      <c r="E146" s="6" t="s">
        <v>1256</v>
      </c>
      <c r="F146" s="6" t="s">
        <v>1571</v>
      </c>
    </row>
    <row r="147" customFormat="false" ht="23.85" hidden="false" customHeight="false" outlineLevel="0" collapsed="false">
      <c r="A147" s="6" t="s">
        <v>526</v>
      </c>
      <c r="B147" s="6" t="s">
        <v>539</v>
      </c>
      <c r="C147" s="6" t="s">
        <v>1254</v>
      </c>
      <c r="D147" s="12" t="s">
        <v>1572</v>
      </c>
      <c r="E147" s="6" t="s">
        <v>1256</v>
      </c>
      <c r="F147" s="6" t="s">
        <v>1573</v>
      </c>
    </row>
    <row r="148" customFormat="false" ht="23.85" hidden="false" customHeight="false" outlineLevel="0" collapsed="false">
      <c r="A148" s="6" t="s">
        <v>526</v>
      </c>
      <c r="B148" s="6" t="s">
        <v>539</v>
      </c>
      <c r="C148" s="6" t="s">
        <v>1262</v>
      </c>
      <c r="D148" s="12" t="s">
        <v>1574</v>
      </c>
      <c r="E148" s="6" t="s">
        <v>1575</v>
      </c>
      <c r="F148" s="6" t="s">
        <v>1576</v>
      </c>
    </row>
    <row r="149" customFormat="false" ht="23.85" hidden="false" customHeight="false" outlineLevel="0" collapsed="false">
      <c r="A149" s="6" t="s">
        <v>526</v>
      </c>
      <c r="B149" s="6" t="s">
        <v>539</v>
      </c>
      <c r="C149" s="6" t="s">
        <v>1269</v>
      </c>
      <c r="D149" s="12" t="s">
        <v>1577</v>
      </c>
      <c r="E149" s="6" t="s">
        <v>1271</v>
      </c>
      <c r="F149" s="6" t="s">
        <v>1578</v>
      </c>
    </row>
    <row r="150" customFormat="false" ht="23.85" hidden="false" customHeight="false" outlineLevel="0" collapsed="false">
      <c r="A150" s="6" t="s">
        <v>526</v>
      </c>
      <c r="B150" s="6" t="s">
        <v>539</v>
      </c>
      <c r="C150" s="6" t="s">
        <v>1269</v>
      </c>
      <c r="D150" s="12" t="s">
        <v>1579</v>
      </c>
      <c r="E150" s="6" t="s">
        <v>1271</v>
      </c>
      <c r="F150" s="6" t="s">
        <v>1580</v>
      </c>
    </row>
    <row r="151" customFormat="false" ht="23.85" hidden="false" customHeight="false" outlineLevel="0" collapsed="false">
      <c r="A151" s="6" t="s">
        <v>526</v>
      </c>
      <c r="B151" s="6" t="s">
        <v>562</v>
      </c>
      <c r="C151" s="6" t="s">
        <v>1262</v>
      </c>
      <c r="D151" s="12" t="s">
        <v>1581</v>
      </c>
      <c r="E151" s="6" t="s">
        <v>1309</v>
      </c>
      <c r="F151" s="6" t="s">
        <v>1582</v>
      </c>
    </row>
    <row r="152" customFormat="false" ht="23.85" hidden="false" customHeight="false" outlineLevel="0" collapsed="false">
      <c r="A152" s="6" t="s">
        <v>526</v>
      </c>
      <c r="B152" s="6" t="s">
        <v>562</v>
      </c>
      <c r="C152" s="6" t="s">
        <v>1254</v>
      </c>
      <c r="D152" s="12" t="s">
        <v>1583</v>
      </c>
      <c r="E152" s="6" t="s">
        <v>1584</v>
      </c>
      <c r="F152" s="6" t="s">
        <v>1585</v>
      </c>
    </row>
    <row r="153" customFormat="false" ht="23.85" hidden="false" customHeight="false" outlineLevel="0" collapsed="false">
      <c r="A153" s="6" t="s">
        <v>526</v>
      </c>
      <c r="B153" s="6" t="s">
        <v>562</v>
      </c>
      <c r="C153" s="6" t="s">
        <v>1254</v>
      </c>
      <c r="D153" s="12" t="s">
        <v>1586</v>
      </c>
      <c r="E153" s="6" t="s">
        <v>1256</v>
      </c>
      <c r="F153" s="6" t="s">
        <v>1587</v>
      </c>
    </row>
    <row r="154" customFormat="false" ht="23.85" hidden="false" customHeight="false" outlineLevel="0" collapsed="false">
      <c r="A154" s="6" t="s">
        <v>526</v>
      </c>
      <c r="B154" s="6" t="s">
        <v>562</v>
      </c>
      <c r="C154" s="6" t="s">
        <v>1262</v>
      </c>
      <c r="D154" s="12" t="s">
        <v>1588</v>
      </c>
      <c r="E154" s="6" t="s">
        <v>1589</v>
      </c>
      <c r="F154" s="6" t="s">
        <v>1590</v>
      </c>
    </row>
    <row r="155" customFormat="false" ht="23.85" hidden="false" customHeight="false" outlineLevel="0" collapsed="false">
      <c r="A155" s="6" t="s">
        <v>526</v>
      </c>
      <c r="B155" s="6" t="s">
        <v>562</v>
      </c>
      <c r="C155" s="6" t="s">
        <v>1262</v>
      </c>
      <c r="D155" s="12" t="s">
        <v>1591</v>
      </c>
      <c r="E155" s="6" t="s">
        <v>1584</v>
      </c>
      <c r="F155" s="6" t="s">
        <v>1592</v>
      </c>
    </row>
    <row r="156" customFormat="false" ht="23.85" hidden="false" customHeight="false" outlineLevel="0" collapsed="false">
      <c r="A156" s="6" t="s">
        <v>526</v>
      </c>
      <c r="B156" s="6" t="s">
        <v>562</v>
      </c>
      <c r="C156" s="6" t="s">
        <v>1269</v>
      </c>
      <c r="D156" s="12" t="s">
        <v>1593</v>
      </c>
      <c r="E156" s="6" t="s">
        <v>1271</v>
      </c>
      <c r="F156" s="6" t="s">
        <v>1594</v>
      </c>
    </row>
    <row r="157" customFormat="false" ht="23.85" hidden="false" customHeight="false" outlineLevel="0" collapsed="false">
      <c r="A157" s="6" t="s">
        <v>526</v>
      </c>
      <c r="B157" s="6" t="s">
        <v>562</v>
      </c>
      <c r="C157" s="6" t="s">
        <v>1269</v>
      </c>
      <c r="D157" s="12" t="s">
        <v>1595</v>
      </c>
      <c r="E157" s="6" t="s">
        <v>1271</v>
      </c>
      <c r="F157" s="6" t="s">
        <v>1596</v>
      </c>
    </row>
    <row r="158" customFormat="false" ht="23.85" hidden="false" customHeight="false" outlineLevel="0" collapsed="false">
      <c r="A158" s="6" t="s">
        <v>526</v>
      </c>
      <c r="B158" s="6" t="s">
        <v>613</v>
      </c>
      <c r="C158" s="6" t="s">
        <v>1262</v>
      </c>
      <c r="D158" s="12" t="s">
        <v>1597</v>
      </c>
      <c r="E158" s="6" t="s">
        <v>1589</v>
      </c>
      <c r="F158" s="6" t="s">
        <v>1598</v>
      </c>
    </row>
    <row r="159" customFormat="false" ht="23.85" hidden="false" customHeight="false" outlineLevel="0" collapsed="false">
      <c r="A159" s="6" t="s">
        <v>526</v>
      </c>
      <c r="B159" s="6" t="s">
        <v>613</v>
      </c>
      <c r="C159" s="6" t="s">
        <v>1262</v>
      </c>
      <c r="D159" s="12" t="s">
        <v>1599</v>
      </c>
      <c r="E159" s="6" t="s">
        <v>1557</v>
      </c>
      <c r="F159" s="6" t="s">
        <v>1600</v>
      </c>
    </row>
    <row r="160" customFormat="false" ht="23.85" hidden="false" customHeight="false" outlineLevel="0" collapsed="false">
      <c r="A160" s="6" t="s">
        <v>526</v>
      </c>
      <c r="B160" s="6" t="s">
        <v>613</v>
      </c>
      <c r="C160" s="6" t="s">
        <v>1254</v>
      </c>
      <c r="D160" s="12" t="s">
        <v>1601</v>
      </c>
      <c r="E160" s="6" t="s">
        <v>1256</v>
      </c>
      <c r="F160" s="6" t="s">
        <v>1602</v>
      </c>
    </row>
    <row r="161" customFormat="false" ht="23.85" hidden="false" customHeight="false" outlineLevel="0" collapsed="false">
      <c r="A161" s="6" t="s">
        <v>526</v>
      </c>
      <c r="B161" s="6" t="s">
        <v>613</v>
      </c>
      <c r="C161" s="6" t="s">
        <v>1254</v>
      </c>
      <c r="D161" s="12" t="s">
        <v>1603</v>
      </c>
      <c r="E161" s="6" t="s">
        <v>1256</v>
      </c>
      <c r="F161" s="6" t="s">
        <v>1604</v>
      </c>
    </row>
    <row r="162" customFormat="false" ht="23.85" hidden="false" customHeight="false" outlineLevel="0" collapsed="false">
      <c r="A162" s="6" t="s">
        <v>526</v>
      </c>
      <c r="B162" s="6" t="s">
        <v>613</v>
      </c>
      <c r="C162" s="6" t="s">
        <v>1269</v>
      </c>
      <c r="D162" s="12" t="s">
        <v>1605</v>
      </c>
      <c r="E162" s="6" t="s">
        <v>1271</v>
      </c>
      <c r="F162" s="6" t="s">
        <v>1606</v>
      </c>
    </row>
    <row r="163" customFormat="false" ht="23.85" hidden="false" customHeight="false" outlineLevel="0" collapsed="false">
      <c r="A163" s="6" t="s">
        <v>526</v>
      </c>
      <c r="B163" s="6" t="s">
        <v>613</v>
      </c>
      <c r="C163" s="6" t="s">
        <v>1269</v>
      </c>
      <c r="D163" s="12" t="s">
        <v>1607</v>
      </c>
      <c r="E163" s="6" t="s">
        <v>1271</v>
      </c>
      <c r="F163" s="6" t="s">
        <v>1608</v>
      </c>
    </row>
    <row r="164" customFormat="false" ht="23.85" hidden="false" customHeight="false" outlineLevel="0" collapsed="false">
      <c r="A164" s="6" t="s">
        <v>526</v>
      </c>
      <c r="B164" s="6" t="s">
        <v>628</v>
      </c>
      <c r="C164" s="6" t="s">
        <v>1254</v>
      </c>
      <c r="D164" s="12" t="s">
        <v>1609</v>
      </c>
      <c r="E164" s="6" t="s">
        <v>1610</v>
      </c>
      <c r="F164" s="6" t="s">
        <v>1611</v>
      </c>
    </row>
    <row r="165" customFormat="false" ht="23.85" hidden="false" customHeight="false" outlineLevel="0" collapsed="false">
      <c r="A165" s="6" t="s">
        <v>526</v>
      </c>
      <c r="B165" s="6" t="s">
        <v>628</v>
      </c>
      <c r="C165" s="6" t="s">
        <v>1254</v>
      </c>
      <c r="D165" s="12" t="s">
        <v>1612</v>
      </c>
      <c r="E165" s="6" t="s">
        <v>1256</v>
      </c>
      <c r="F165" s="6" t="s">
        <v>1613</v>
      </c>
    </row>
    <row r="166" customFormat="false" ht="23.85" hidden="false" customHeight="false" outlineLevel="0" collapsed="false">
      <c r="A166" s="6" t="s">
        <v>526</v>
      </c>
      <c r="B166" s="6" t="s">
        <v>628</v>
      </c>
      <c r="C166" s="6" t="s">
        <v>1254</v>
      </c>
      <c r="D166" s="12" t="s">
        <v>1614</v>
      </c>
      <c r="E166" s="6" t="s">
        <v>1615</v>
      </c>
      <c r="F166" s="6" t="s">
        <v>1616</v>
      </c>
    </row>
    <row r="167" customFormat="false" ht="23.85" hidden="false" customHeight="false" outlineLevel="0" collapsed="false">
      <c r="A167" s="6" t="s">
        <v>526</v>
      </c>
      <c r="B167" s="6" t="s">
        <v>628</v>
      </c>
      <c r="C167" s="6" t="s">
        <v>1262</v>
      </c>
      <c r="D167" s="12" t="s">
        <v>1617</v>
      </c>
      <c r="E167" s="6" t="s">
        <v>1618</v>
      </c>
      <c r="F167" s="6" t="s">
        <v>1619</v>
      </c>
    </row>
    <row r="168" customFormat="false" ht="23.85" hidden="false" customHeight="false" outlineLevel="0" collapsed="false">
      <c r="A168" s="6" t="s">
        <v>526</v>
      </c>
      <c r="B168" s="6" t="s">
        <v>628</v>
      </c>
      <c r="C168" s="6" t="s">
        <v>1269</v>
      </c>
      <c r="D168" s="12" t="s">
        <v>1620</v>
      </c>
      <c r="E168" s="6" t="s">
        <v>1271</v>
      </c>
      <c r="F168" s="6" t="s">
        <v>1621</v>
      </c>
    </row>
    <row r="169" customFormat="false" ht="23.85" hidden="false" customHeight="false" outlineLevel="0" collapsed="false">
      <c r="A169" s="6" t="s">
        <v>526</v>
      </c>
      <c r="B169" s="6" t="s">
        <v>642</v>
      </c>
      <c r="C169" s="6" t="s">
        <v>1254</v>
      </c>
      <c r="D169" s="12" t="s">
        <v>1622</v>
      </c>
      <c r="E169" s="6" t="s">
        <v>1256</v>
      </c>
      <c r="F169" s="6" t="s">
        <v>1623</v>
      </c>
    </row>
    <row r="170" customFormat="false" ht="23.85" hidden="false" customHeight="false" outlineLevel="0" collapsed="false">
      <c r="A170" s="6" t="s">
        <v>526</v>
      </c>
      <c r="B170" s="6" t="s">
        <v>642</v>
      </c>
      <c r="C170" s="6" t="s">
        <v>1254</v>
      </c>
      <c r="D170" s="12" t="s">
        <v>1624</v>
      </c>
      <c r="E170" s="6" t="s">
        <v>1256</v>
      </c>
      <c r="F170" s="6" t="s">
        <v>1625</v>
      </c>
    </row>
    <row r="171" customFormat="false" ht="23.85" hidden="false" customHeight="false" outlineLevel="0" collapsed="false">
      <c r="A171" s="6" t="s">
        <v>526</v>
      </c>
      <c r="B171" s="6" t="s">
        <v>642</v>
      </c>
      <c r="C171" s="6" t="s">
        <v>1254</v>
      </c>
      <c r="D171" s="12" t="s">
        <v>1626</v>
      </c>
      <c r="E171" s="6" t="s">
        <v>1256</v>
      </c>
      <c r="F171" s="6" t="s">
        <v>1627</v>
      </c>
    </row>
    <row r="172" customFormat="false" ht="23.85" hidden="false" customHeight="false" outlineLevel="0" collapsed="false">
      <c r="A172" s="6" t="s">
        <v>526</v>
      </c>
      <c r="B172" s="6" t="s">
        <v>642</v>
      </c>
      <c r="C172" s="6" t="s">
        <v>1262</v>
      </c>
      <c r="D172" s="12" t="s">
        <v>1628</v>
      </c>
      <c r="E172" s="6" t="s">
        <v>1309</v>
      </c>
      <c r="F172" s="6" t="s">
        <v>1629</v>
      </c>
    </row>
    <row r="173" customFormat="false" ht="23.85" hidden="false" customHeight="false" outlineLevel="0" collapsed="false">
      <c r="A173" s="6" t="s">
        <v>526</v>
      </c>
      <c r="B173" s="6" t="s">
        <v>642</v>
      </c>
      <c r="C173" s="6" t="s">
        <v>1269</v>
      </c>
      <c r="D173" s="12" t="s">
        <v>1630</v>
      </c>
      <c r="E173" s="6" t="s">
        <v>1271</v>
      </c>
      <c r="F173" s="6" t="s">
        <v>1631</v>
      </c>
    </row>
    <row r="174" customFormat="false" ht="23.85" hidden="false" customHeight="false" outlineLevel="0" collapsed="false">
      <c r="A174" s="6" t="s">
        <v>526</v>
      </c>
      <c r="B174" s="6" t="s">
        <v>663</v>
      </c>
      <c r="C174" s="6" t="s">
        <v>1262</v>
      </c>
      <c r="D174" s="12" t="s">
        <v>1632</v>
      </c>
      <c r="E174" s="6" t="s">
        <v>1633</v>
      </c>
      <c r="F174" s="6" t="s">
        <v>1634</v>
      </c>
    </row>
    <row r="175" customFormat="false" ht="23.85" hidden="false" customHeight="false" outlineLevel="0" collapsed="false">
      <c r="A175" s="6" t="s">
        <v>526</v>
      </c>
      <c r="B175" s="6" t="s">
        <v>663</v>
      </c>
      <c r="C175" s="6" t="s">
        <v>1254</v>
      </c>
      <c r="D175" s="12" t="s">
        <v>1635</v>
      </c>
      <c r="E175" s="6" t="s">
        <v>1256</v>
      </c>
      <c r="F175" s="6" t="s">
        <v>1636</v>
      </c>
    </row>
    <row r="176" customFormat="false" ht="23.85" hidden="false" customHeight="false" outlineLevel="0" collapsed="false">
      <c r="A176" s="6" t="s">
        <v>526</v>
      </c>
      <c r="B176" s="6" t="s">
        <v>663</v>
      </c>
      <c r="C176" s="6" t="s">
        <v>1262</v>
      </c>
      <c r="D176" s="12" t="s">
        <v>1637</v>
      </c>
      <c r="E176" s="6" t="s">
        <v>1584</v>
      </c>
      <c r="F176" s="6" t="s">
        <v>1638</v>
      </c>
    </row>
    <row r="177" customFormat="false" ht="23.85" hidden="false" customHeight="false" outlineLevel="0" collapsed="false">
      <c r="A177" s="6" t="s">
        <v>526</v>
      </c>
      <c r="B177" s="6" t="s">
        <v>663</v>
      </c>
      <c r="C177" s="6" t="s">
        <v>1262</v>
      </c>
      <c r="D177" s="12" t="s">
        <v>1639</v>
      </c>
      <c r="E177" s="6" t="s">
        <v>1309</v>
      </c>
      <c r="F177" s="6" t="s">
        <v>1640</v>
      </c>
    </row>
    <row r="178" customFormat="false" ht="23.85" hidden="false" customHeight="false" outlineLevel="0" collapsed="false">
      <c r="A178" s="6" t="s">
        <v>526</v>
      </c>
      <c r="B178" s="6" t="s">
        <v>663</v>
      </c>
      <c r="C178" s="6" t="s">
        <v>1262</v>
      </c>
      <c r="D178" s="12" t="s">
        <v>1641</v>
      </c>
      <c r="E178" s="6" t="s">
        <v>1642</v>
      </c>
      <c r="F178" s="6" t="s">
        <v>1643</v>
      </c>
    </row>
    <row r="179" customFormat="false" ht="23.85" hidden="false" customHeight="false" outlineLevel="0" collapsed="false">
      <c r="A179" s="6" t="s">
        <v>526</v>
      </c>
      <c r="B179" s="6" t="s">
        <v>663</v>
      </c>
      <c r="C179" s="6" t="s">
        <v>1269</v>
      </c>
      <c r="D179" s="12" t="s">
        <v>1644</v>
      </c>
      <c r="E179" s="6" t="s">
        <v>1271</v>
      </c>
      <c r="F179" s="6" t="s">
        <v>1645</v>
      </c>
    </row>
    <row r="180" customFormat="false" ht="23.85" hidden="false" customHeight="false" outlineLevel="0" collapsed="false">
      <c r="A180" s="6" t="s">
        <v>526</v>
      </c>
      <c r="B180" s="6" t="s">
        <v>680</v>
      </c>
      <c r="C180" s="6" t="s">
        <v>1262</v>
      </c>
      <c r="D180" s="12" t="s">
        <v>1646</v>
      </c>
      <c r="E180" s="6" t="s">
        <v>1309</v>
      </c>
      <c r="F180" s="6" t="s">
        <v>1647</v>
      </c>
    </row>
    <row r="181" customFormat="false" ht="23.85" hidden="false" customHeight="false" outlineLevel="0" collapsed="false">
      <c r="A181" s="6" t="s">
        <v>526</v>
      </c>
      <c r="B181" s="6" t="s">
        <v>680</v>
      </c>
      <c r="C181" s="6" t="s">
        <v>1254</v>
      </c>
      <c r="D181" s="12" t="s">
        <v>1648</v>
      </c>
      <c r="E181" s="6" t="s">
        <v>1256</v>
      </c>
      <c r="F181" s="6" t="s">
        <v>1649</v>
      </c>
    </row>
    <row r="182" customFormat="false" ht="23.85" hidden="false" customHeight="false" outlineLevel="0" collapsed="false">
      <c r="A182" s="6" t="s">
        <v>526</v>
      </c>
      <c r="B182" s="6" t="s">
        <v>680</v>
      </c>
      <c r="C182" s="6" t="s">
        <v>1254</v>
      </c>
      <c r="D182" s="12" t="s">
        <v>1650</v>
      </c>
      <c r="E182" s="6" t="s">
        <v>1256</v>
      </c>
      <c r="F182" s="6" t="s">
        <v>1651</v>
      </c>
    </row>
    <row r="183" customFormat="false" ht="23.85" hidden="false" customHeight="false" outlineLevel="0" collapsed="false">
      <c r="A183" s="6" t="s">
        <v>526</v>
      </c>
      <c r="B183" s="6" t="s">
        <v>680</v>
      </c>
      <c r="C183" s="6" t="s">
        <v>1262</v>
      </c>
      <c r="D183" s="12" t="s">
        <v>1652</v>
      </c>
      <c r="E183" s="6" t="s">
        <v>1557</v>
      </c>
      <c r="F183" s="6" t="s">
        <v>1653</v>
      </c>
    </row>
    <row r="184" customFormat="false" ht="23.85" hidden="false" customHeight="false" outlineLevel="0" collapsed="false">
      <c r="A184" s="6" t="s">
        <v>526</v>
      </c>
      <c r="B184" s="6" t="s">
        <v>691</v>
      </c>
      <c r="C184" s="6" t="s">
        <v>1254</v>
      </c>
      <c r="D184" s="12" t="s">
        <v>1654</v>
      </c>
      <c r="E184" s="6" t="s">
        <v>1256</v>
      </c>
      <c r="F184" s="6" t="s">
        <v>1655</v>
      </c>
    </row>
    <row r="185" customFormat="false" ht="23.85" hidden="false" customHeight="false" outlineLevel="0" collapsed="false">
      <c r="A185" s="6" t="s">
        <v>526</v>
      </c>
      <c r="B185" s="6" t="s">
        <v>691</v>
      </c>
      <c r="C185" s="6" t="s">
        <v>1254</v>
      </c>
      <c r="D185" s="12" t="s">
        <v>1656</v>
      </c>
      <c r="E185" s="6" t="s">
        <v>1256</v>
      </c>
      <c r="F185" s="6" t="s">
        <v>1657</v>
      </c>
    </row>
    <row r="186" customFormat="false" ht="23.85" hidden="false" customHeight="false" outlineLevel="0" collapsed="false">
      <c r="A186" s="6" t="s">
        <v>526</v>
      </c>
      <c r="B186" s="6" t="s">
        <v>702</v>
      </c>
      <c r="C186" s="6" t="s">
        <v>1262</v>
      </c>
      <c r="D186" s="12" t="s">
        <v>1658</v>
      </c>
      <c r="E186" s="6" t="s">
        <v>1309</v>
      </c>
      <c r="F186" s="6" t="s">
        <v>1659</v>
      </c>
    </row>
    <row r="187" customFormat="false" ht="23.85" hidden="false" customHeight="false" outlineLevel="0" collapsed="false">
      <c r="A187" s="6" t="s">
        <v>526</v>
      </c>
      <c r="B187" s="6" t="s">
        <v>702</v>
      </c>
      <c r="C187" s="6" t="s">
        <v>1254</v>
      </c>
      <c r="D187" s="12" t="s">
        <v>1660</v>
      </c>
      <c r="E187" s="6" t="s">
        <v>1256</v>
      </c>
      <c r="F187" s="6" t="s">
        <v>1661</v>
      </c>
    </row>
    <row r="188" customFormat="false" ht="23.85" hidden="false" customHeight="false" outlineLevel="0" collapsed="false">
      <c r="A188" s="6" t="s">
        <v>526</v>
      </c>
      <c r="B188" s="6" t="s">
        <v>702</v>
      </c>
      <c r="C188" s="6" t="s">
        <v>1254</v>
      </c>
      <c r="D188" s="12" t="s">
        <v>1662</v>
      </c>
      <c r="E188" s="6" t="s">
        <v>1256</v>
      </c>
      <c r="F188" s="6" t="s">
        <v>1663</v>
      </c>
    </row>
    <row r="189" customFormat="false" ht="23.85" hidden="false" customHeight="false" outlineLevel="0" collapsed="false">
      <c r="A189" s="6" t="s">
        <v>526</v>
      </c>
      <c r="B189" s="6" t="s">
        <v>713</v>
      </c>
      <c r="C189" s="6" t="s">
        <v>1262</v>
      </c>
      <c r="D189" s="12" t="s">
        <v>1664</v>
      </c>
      <c r="E189" s="6" t="s">
        <v>1309</v>
      </c>
      <c r="F189" s="6" t="s">
        <v>1665</v>
      </c>
    </row>
    <row r="190" customFormat="false" ht="23.85" hidden="false" customHeight="false" outlineLevel="0" collapsed="false">
      <c r="A190" s="6" t="s">
        <v>526</v>
      </c>
      <c r="B190" s="6" t="s">
        <v>713</v>
      </c>
      <c r="C190" s="6" t="s">
        <v>1254</v>
      </c>
      <c r="D190" s="12" t="s">
        <v>1666</v>
      </c>
      <c r="E190" s="6" t="s">
        <v>1256</v>
      </c>
      <c r="F190" s="6" t="s">
        <v>1667</v>
      </c>
    </row>
    <row r="191" customFormat="false" ht="23.85" hidden="false" customHeight="false" outlineLevel="0" collapsed="false">
      <c r="A191" s="6" t="s">
        <v>526</v>
      </c>
      <c r="B191" s="6" t="s">
        <v>713</v>
      </c>
      <c r="C191" s="6" t="s">
        <v>1254</v>
      </c>
      <c r="D191" s="12" t="s">
        <v>1668</v>
      </c>
      <c r="E191" s="6" t="s">
        <v>1256</v>
      </c>
      <c r="F191" s="6" t="s">
        <v>1669</v>
      </c>
    </row>
    <row r="192" customFormat="false" ht="23.85" hidden="false" customHeight="false" outlineLevel="0" collapsed="false">
      <c r="A192" s="6" t="s">
        <v>526</v>
      </c>
      <c r="B192" s="6" t="s">
        <v>713</v>
      </c>
      <c r="C192" s="6" t="s">
        <v>1262</v>
      </c>
      <c r="D192" s="12" t="s">
        <v>1670</v>
      </c>
      <c r="E192" s="6" t="s">
        <v>1633</v>
      </c>
      <c r="F192" s="6" t="s">
        <v>1671</v>
      </c>
    </row>
    <row r="193" customFormat="false" ht="23.85" hidden="false" customHeight="false" outlineLevel="0" collapsed="false">
      <c r="A193" s="6" t="s">
        <v>526</v>
      </c>
      <c r="B193" s="6" t="s">
        <v>713</v>
      </c>
      <c r="C193" s="6" t="s">
        <v>1269</v>
      </c>
      <c r="D193" s="12" t="s">
        <v>1672</v>
      </c>
      <c r="E193" s="6" t="s">
        <v>1271</v>
      </c>
      <c r="F193" s="6" t="s">
        <v>1673</v>
      </c>
    </row>
    <row r="194" customFormat="false" ht="23.85" hidden="false" customHeight="false" outlineLevel="0" collapsed="false">
      <c r="A194" s="6" t="s">
        <v>526</v>
      </c>
      <c r="B194" s="6" t="s">
        <v>713</v>
      </c>
      <c r="C194" s="6" t="s">
        <v>1269</v>
      </c>
      <c r="D194" s="12" t="s">
        <v>1674</v>
      </c>
      <c r="E194" s="6" t="s">
        <v>1271</v>
      </c>
      <c r="F194" s="6" t="s">
        <v>1675</v>
      </c>
    </row>
    <row r="195" customFormat="false" ht="23.85" hidden="false" customHeight="false" outlineLevel="0" collapsed="false">
      <c r="A195" s="6" t="s">
        <v>526</v>
      </c>
      <c r="B195" s="6" t="s">
        <v>728</v>
      </c>
      <c r="C195" s="6" t="s">
        <v>1262</v>
      </c>
      <c r="D195" s="12" t="s">
        <v>1676</v>
      </c>
      <c r="E195" s="6" t="s">
        <v>1677</v>
      </c>
      <c r="F195" s="6" t="s">
        <v>1678</v>
      </c>
    </row>
    <row r="196" customFormat="false" ht="23.85" hidden="false" customHeight="false" outlineLevel="0" collapsed="false">
      <c r="A196" s="6" t="s">
        <v>526</v>
      </c>
      <c r="B196" s="6" t="s">
        <v>728</v>
      </c>
      <c r="C196" s="6" t="s">
        <v>1254</v>
      </c>
      <c r="D196" s="12" t="s">
        <v>1679</v>
      </c>
      <c r="E196" s="6" t="s">
        <v>1256</v>
      </c>
      <c r="F196" s="6" t="s">
        <v>1680</v>
      </c>
    </row>
    <row r="197" customFormat="false" ht="23.85" hidden="false" customHeight="false" outlineLevel="0" collapsed="false">
      <c r="A197" s="6" t="s">
        <v>526</v>
      </c>
      <c r="B197" s="6" t="s">
        <v>728</v>
      </c>
      <c r="C197" s="6" t="s">
        <v>1262</v>
      </c>
      <c r="D197" s="12" t="s">
        <v>1658</v>
      </c>
      <c r="E197" s="6" t="s">
        <v>1309</v>
      </c>
      <c r="F197" s="6" t="s">
        <v>1659</v>
      </c>
    </row>
    <row r="198" customFormat="false" ht="23.85" hidden="false" customHeight="false" outlineLevel="0" collapsed="false">
      <c r="A198" s="6" t="s">
        <v>526</v>
      </c>
      <c r="B198" s="6" t="s">
        <v>728</v>
      </c>
      <c r="C198" s="6" t="s">
        <v>1269</v>
      </c>
      <c r="D198" s="12" t="s">
        <v>1674</v>
      </c>
      <c r="E198" s="6" t="s">
        <v>1271</v>
      </c>
      <c r="F198" s="6" t="s">
        <v>1675</v>
      </c>
    </row>
    <row r="199" customFormat="false" ht="23.85" hidden="false" customHeight="false" outlineLevel="0" collapsed="false">
      <c r="A199" s="6" t="s">
        <v>737</v>
      </c>
      <c r="B199" s="6" t="s">
        <v>738</v>
      </c>
      <c r="C199" s="6" t="s">
        <v>1262</v>
      </c>
      <c r="D199" s="12" t="s">
        <v>1681</v>
      </c>
      <c r="E199" s="6" t="s">
        <v>1682</v>
      </c>
      <c r="F199" s="6" t="s">
        <v>1683</v>
      </c>
    </row>
    <row r="200" customFormat="false" ht="15" hidden="false" customHeight="false" outlineLevel="0" collapsed="false">
      <c r="A200" s="6" t="s">
        <v>737</v>
      </c>
      <c r="B200" s="6" t="s">
        <v>738</v>
      </c>
      <c r="C200" s="6" t="s">
        <v>1254</v>
      </c>
      <c r="D200" s="12" t="s">
        <v>1684</v>
      </c>
      <c r="E200" s="6" t="s">
        <v>1256</v>
      </c>
      <c r="F200" s="6" t="s">
        <v>1685</v>
      </c>
    </row>
    <row r="201" customFormat="false" ht="23.85" hidden="false" customHeight="false" outlineLevel="0" collapsed="false">
      <c r="A201" s="6" t="s">
        <v>737</v>
      </c>
      <c r="B201" s="6" t="s">
        <v>738</v>
      </c>
      <c r="C201" s="6" t="s">
        <v>1254</v>
      </c>
      <c r="D201" s="12" t="s">
        <v>1686</v>
      </c>
      <c r="E201" s="6" t="s">
        <v>1687</v>
      </c>
      <c r="F201" s="6" t="s">
        <v>1688</v>
      </c>
    </row>
    <row r="202" customFormat="false" ht="15" hidden="false" customHeight="false" outlineLevel="0" collapsed="false">
      <c r="A202" s="6" t="s">
        <v>737</v>
      </c>
      <c r="B202" s="6" t="s">
        <v>738</v>
      </c>
      <c r="C202" s="6" t="s">
        <v>1269</v>
      </c>
      <c r="D202" s="12" t="s">
        <v>1689</v>
      </c>
      <c r="E202" s="6" t="s">
        <v>1271</v>
      </c>
      <c r="F202" s="6" t="s">
        <v>1690</v>
      </c>
    </row>
    <row r="203" customFormat="false" ht="23.85" hidden="false" customHeight="false" outlineLevel="0" collapsed="false">
      <c r="A203" s="6" t="s">
        <v>737</v>
      </c>
      <c r="B203" s="6" t="s">
        <v>749</v>
      </c>
      <c r="C203" s="6" t="s">
        <v>1254</v>
      </c>
      <c r="D203" s="12" t="s">
        <v>1686</v>
      </c>
      <c r="E203" s="6" t="s">
        <v>1687</v>
      </c>
      <c r="F203" s="6" t="s">
        <v>1688</v>
      </c>
    </row>
    <row r="204" customFormat="false" ht="15" hidden="false" customHeight="false" outlineLevel="0" collapsed="false">
      <c r="A204" s="6" t="s">
        <v>737</v>
      </c>
      <c r="B204" s="6" t="s">
        <v>749</v>
      </c>
      <c r="C204" s="6" t="s">
        <v>1254</v>
      </c>
      <c r="D204" s="12" t="s">
        <v>1691</v>
      </c>
      <c r="E204" s="6" t="s">
        <v>1256</v>
      </c>
      <c r="F204" s="6" t="s">
        <v>1692</v>
      </c>
    </row>
    <row r="205" customFormat="false" ht="15" hidden="false" customHeight="false" outlineLevel="0" collapsed="false">
      <c r="A205" s="6" t="s">
        <v>737</v>
      </c>
      <c r="B205" s="6" t="s">
        <v>749</v>
      </c>
      <c r="C205" s="6" t="s">
        <v>1254</v>
      </c>
      <c r="D205" s="12" t="s">
        <v>1693</v>
      </c>
      <c r="E205" s="6" t="s">
        <v>1256</v>
      </c>
      <c r="F205" s="6" t="s">
        <v>1694</v>
      </c>
    </row>
    <row r="206" customFormat="false" ht="23.85" hidden="false" customHeight="false" outlineLevel="0" collapsed="false">
      <c r="A206" s="6" t="s">
        <v>737</v>
      </c>
      <c r="B206" s="6" t="s">
        <v>749</v>
      </c>
      <c r="C206" s="6" t="s">
        <v>1254</v>
      </c>
      <c r="D206" s="12" t="s">
        <v>1695</v>
      </c>
      <c r="E206" s="6" t="s">
        <v>1256</v>
      </c>
      <c r="F206" s="6" t="s">
        <v>1696</v>
      </c>
    </row>
    <row r="207" customFormat="false" ht="15" hidden="false" customHeight="false" outlineLevel="0" collapsed="false">
      <c r="A207" s="6" t="s">
        <v>737</v>
      </c>
      <c r="B207" s="6" t="s">
        <v>749</v>
      </c>
      <c r="C207" s="6" t="s">
        <v>1269</v>
      </c>
      <c r="D207" s="12" t="s">
        <v>1697</v>
      </c>
      <c r="E207" s="6" t="s">
        <v>1271</v>
      </c>
      <c r="F207" s="6" t="s">
        <v>1698</v>
      </c>
    </row>
    <row r="208" customFormat="false" ht="15" hidden="false" customHeight="false" outlineLevel="0" collapsed="false">
      <c r="A208" s="6" t="s">
        <v>737</v>
      </c>
      <c r="B208" s="6" t="s">
        <v>749</v>
      </c>
      <c r="C208" s="6" t="s">
        <v>1269</v>
      </c>
      <c r="D208" s="12" t="s">
        <v>1699</v>
      </c>
      <c r="E208" s="6" t="s">
        <v>1271</v>
      </c>
      <c r="F208" s="6" t="s">
        <v>1700</v>
      </c>
    </row>
    <row r="209" customFormat="false" ht="15" hidden="false" customHeight="false" outlineLevel="0" collapsed="false">
      <c r="A209" s="6" t="s">
        <v>737</v>
      </c>
      <c r="B209" s="6" t="s">
        <v>760</v>
      </c>
      <c r="C209" s="6" t="s">
        <v>1262</v>
      </c>
      <c r="D209" s="12" t="s">
        <v>1701</v>
      </c>
      <c r="E209" s="6" t="s">
        <v>1309</v>
      </c>
      <c r="F209" s="6" t="s">
        <v>1702</v>
      </c>
    </row>
    <row r="210" customFormat="false" ht="15" hidden="false" customHeight="false" outlineLevel="0" collapsed="false">
      <c r="A210" s="6" t="s">
        <v>737</v>
      </c>
      <c r="B210" s="6" t="s">
        <v>760</v>
      </c>
      <c r="C210" s="6" t="s">
        <v>1262</v>
      </c>
      <c r="D210" s="12" t="s">
        <v>1703</v>
      </c>
      <c r="E210" s="6" t="s">
        <v>1309</v>
      </c>
      <c r="F210" s="6" t="s">
        <v>1704</v>
      </c>
    </row>
    <row r="211" customFormat="false" ht="15" hidden="false" customHeight="false" outlineLevel="0" collapsed="false">
      <c r="A211" s="6" t="s">
        <v>737</v>
      </c>
      <c r="B211" s="6" t="s">
        <v>760</v>
      </c>
      <c r="C211" s="6" t="s">
        <v>1254</v>
      </c>
      <c r="D211" s="12" t="s">
        <v>1705</v>
      </c>
      <c r="E211" s="6" t="s">
        <v>1256</v>
      </c>
      <c r="F211" s="6" t="s">
        <v>1706</v>
      </c>
    </row>
    <row r="212" customFormat="false" ht="15" hidden="false" customHeight="false" outlineLevel="0" collapsed="false">
      <c r="A212" s="6" t="s">
        <v>737</v>
      </c>
      <c r="B212" s="6" t="s">
        <v>760</v>
      </c>
      <c r="C212" s="6" t="s">
        <v>1254</v>
      </c>
      <c r="D212" s="12" t="s">
        <v>1707</v>
      </c>
      <c r="E212" s="6" t="s">
        <v>1256</v>
      </c>
      <c r="F212" s="6" t="s">
        <v>1708</v>
      </c>
    </row>
    <row r="213" customFormat="false" ht="15" hidden="false" customHeight="false" outlineLevel="0" collapsed="false">
      <c r="A213" s="6" t="s">
        <v>737</v>
      </c>
      <c r="B213" s="6" t="s">
        <v>760</v>
      </c>
      <c r="C213" s="6" t="s">
        <v>1254</v>
      </c>
      <c r="D213" s="12" t="s">
        <v>1709</v>
      </c>
      <c r="E213" s="6" t="s">
        <v>1710</v>
      </c>
      <c r="F213" s="6" t="s">
        <v>1711</v>
      </c>
    </row>
    <row r="214" customFormat="false" ht="15" hidden="false" customHeight="false" outlineLevel="0" collapsed="false">
      <c r="A214" s="6" t="s">
        <v>737</v>
      </c>
      <c r="B214" s="6" t="s">
        <v>760</v>
      </c>
      <c r="C214" s="6" t="s">
        <v>1269</v>
      </c>
      <c r="D214" s="12" t="s">
        <v>1712</v>
      </c>
      <c r="E214" s="6" t="s">
        <v>1271</v>
      </c>
      <c r="F214" s="6" t="s">
        <v>1713</v>
      </c>
    </row>
    <row r="215" customFormat="false" ht="15" hidden="false" customHeight="false" outlineLevel="0" collapsed="false">
      <c r="A215" s="6" t="s">
        <v>737</v>
      </c>
      <c r="B215" s="6" t="s">
        <v>760</v>
      </c>
      <c r="C215" s="6" t="s">
        <v>1269</v>
      </c>
      <c r="D215" s="12" t="s">
        <v>1714</v>
      </c>
      <c r="E215" s="6" t="s">
        <v>1271</v>
      </c>
      <c r="F215" s="6" t="s">
        <v>1715</v>
      </c>
    </row>
    <row r="216" customFormat="false" ht="23.85" hidden="false" customHeight="false" outlineLevel="0" collapsed="false">
      <c r="A216" s="6" t="s">
        <v>737</v>
      </c>
      <c r="B216" s="6" t="s">
        <v>787</v>
      </c>
      <c r="C216" s="6" t="s">
        <v>1262</v>
      </c>
      <c r="D216" s="12" t="s">
        <v>1716</v>
      </c>
      <c r="E216" s="6" t="s">
        <v>1717</v>
      </c>
      <c r="F216" s="6" t="s">
        <v>1718</v>
      </c>
    </row>
    <row r="217" customFormat="false" ht="23.85" hidden="false" customHeight="false" outlineLevel="0" collapsed="false">
      <c r="A217" s="6" t="s">
        <v>737</v>
      </c>
      <c r="B217" s="6" t="s">
        <v>787</v>
      </c>
      <c r="C217" s="6" t="s">
        <v>1262</v>
      </c>
      <c r="D217" s="12" t="s">
        <v>1719</v>
      </c>
      <c r="E217" s="6" t="s">
        <v>1720</v>
      </c>
      <c r="F217" s="6" t="s">
        <v>1721</v>
      </c>
    </row>
    <row r="218" customFormat="false" ht="15" hidden="false" customHeight="false" outlineLevel="0" collapsed="false">
      <c r="A218" s="6" t="s">
        <v>737</v>
      </c>
      <c r="B218" s="6" t="s">
        <v>787</v>
      </c>
      <c r="C218" s="6" t="s">
        <v>1269</v>
      </c>
      <c r="D218" s="12" t="s">
        <v>1689</v>
      </c>
      <c r="E218" s="6" t="s">
        <v>1271</v>
      </c>
      <c r="F218" s="6" t="s">
        <v>1690</v>
      </c>
    </row>
    <row r="219" customFormat="false" ht="23.85" hidden="false" customHeight="false" outlineLevel="0" collapsed="false">
      <c r="A219" s="6" t="s">
        <v>737</v>
      </c>
      <c r="B219" s="6" t="s">
        <v>796</v>
      </c>
      <c r="C219" s="6" t="s">
        <v>1262</v>
      </c>
      <c r="D219" s="12" t="s">
        <v>1722</v>
      </c>
      <c r="E219" s="6" t="s">
        <v>1723</v>
      </c>
      <c r="F219" s="6" t="s">
        <v>1724</v>
      </c>
    </row>
    <row r="220" customFormat="false" ht="15" hidden="false" customHeight="false" outlineLevel="0" collapsed="false">
      <c r="A220" s="6" t="s">
        <v>737</v>
      </c>
      <c r="B220" s="6" t="s">
        <v>796</v>
      </c>
      <c r="C220" s="6" t="s">
        <v>1254</v>
      </c>
      <c r="D220" s="12" t="s">
        <v>1725</v>
      </c>
      <c r="E220" s="6" t="s">
        <v>1256</v>
      </c>
      <c r="F220" s="6" t="s">
        <v>1726</v>
      </c>
    </row>
    <row r="221" customFormat="false" ht="15" hidden="false" customHeight="false" outlineLevel="0" collapsed="false">
      <c r="A221" s="6" t="s">
        <v>737</v>
      </c>
      <c r="B221" s="6" t="s">
        <v>796</v>
      </c>
      <c r="C221" s="6" t="s">
        <v>1254</v>
      </c>
      <c r="D221" s="12" t="s">
        <v>1727</v>
      </c>
      <c r="E221" s="6" t="s">
        <v>1710</v>
      </c>
      <c r="F221" s="6" t="s">
        <v>1728</v>
      </c>
    </row>
    <row r="222" customFormat="false" ht="15" hidden="false" customHeight="false" outlineLevel="0" collapsed="false">
      <c r="A222" s="6" t="s">
        <v>737</v>
      </c>
      <c r="B222" s="6" t="s">
        <v>796</v>
      </c>
      <c r="C222" s="6" t="s">
        <v>1254</v>
      </c>
      <c r="D222" s="12" t="s">
        <v>1729</v>
      </c>
      <c r="E222" s="6" t="s">
        <v>1730</v>
      </c>
      <c r="F222" s="6" t="s">
        <v>1731</v>
      </c>
    </row>
    <row r="223" customFormat="false" ht="15" hidden="false" customHeight="false" outlineLevel="0" collapsed="false">
      <c r="A223" s="6" t="s">
        <v>737</v>
      </c>
      <c r="B223" s="6" t="s">
        <v>796</v>
      </c>
      <c r="C223" s="6" t="s">
        <v>1269</v>
      </c>
      <c r="D223" s="12" t="s">
        <v>1732</v>
      </c>
      <c r="E223" s="6" t="s">
        <v>1271</v>
      </c>
      <c r="F223" s="6" t="s">
        <v>1733</v>
      </c>
    </row>
    <row r="224" customFormat="false" ht="15" hidden="false" customHeight="false" outlineLevel="0" collapsed="false">
      <c r="A224" s="6" t="s">
        <v>737</v>
      </c>
      <c r="B224" s="6" t="s">
        <v>811</v>
      </c>
      <c r="C224" s="6" t="s">
        <v>1254</v>
      </c>
      <c r="D224" s="12" t="s">
        <v>1734</v>
      </c>
      <c r="E224" s="6" t="s">
        <v>1256</v>
      </c>
      <c r="F224" s="6" t="s">
        <v>1735</v>
      </c>
    </row>
    <row r="225" customFormat="false" ht="23.85" hidden="false" customHeight="false" outlineLevel="0" collapsed="false">
      <c r="A225" s="6" t="s">
        <v>737</v>
      </c>
      <c r="B225" s="6" t="s">
        <v>811</v>
      </c>
      <c r="C225" s="6" t="s">
        <v>1254</v>
      </c>
      <c r="D225" s="12" t="s">
        <v>1736</v>
      </c>
      <c r="E225" s="6" t="s">
        <v>1737</v>
      </c>
      <c r="F225" s="6" t="s">
        <v>1738</v>
      </c>
    </row>
    <row r="226" customFormat="false" ht="15" hidden="false" customHeight="false" outlineLevel="0" collapsed="false">
      <c r="A226" s="6" t="s">
        <v>737</v>
      </c>
      <c r="B226" s="6" t="s">
        <v>811</v>
      </c>
      <c r="C226" s="6" t="s">
        <v>1269</v>
      </c>
      <c r="D226" s="12" t="s">
        <v>1689</v>
      </c>
      <c r="E226" s="6" t="s">
        <v>1271</v>
      </c>
      <c r="F226" s="6" t="s">
        <v>1690</v>
      </c>
    </row>
    <row r="227" customFormat="false" ht="15" hidden="false" customHeight="false" outlineLevel="0" collapsed="false">
      <c r="A227" s="6" t="s">
        <v>737</v>
      </c>
      <c r="B227" s="6" t="s">
        <v>822</v>
      </c>
      <c r="C227" s="6" t="s">
        <v>1262</v>
      </c>
      <c r="D227" s="12" t="s">
        <v>1739</v>
      </c>
      <c r="E227" s="6" t="s">
        <v>1740</v>
      </c>
      <c r="F227" s="6" t="s">
        <v>1741</v>
      </c>
    </row>
    <row r="228" customFormat="false" ht="15" hidden="false" customHeight="false" outlineLevel="0" collapsed="false">
      <c r="A228" s="6" t="s">
        <v>737</v>
      </c>
      <c r="B228" s="6" t="s">
        <v>822</v>
      </c>
      <c r="C228" s="6" t="s">
        <v>1262</v>
      </c>
      <c r="D228" s="12" t="s">
        <v>1742</v>
      </c>
      <c r="E228" s="6" t="s">
        <v>1309</v>
      </c>
      <c r="F228" s="6" t="s">
        <v>1743</v>
      </c>
    </row>
    <row r="229" customFormat="false" ht="15" hidden="false" customHeight="false" outlineLevel="0" collapsed="false">
      <c r="A229" s="6" t="s">
        <v>737</v>
      </c>
      <c r="B229" s="6" t="s">
        <v>822</v>
      </c>
      <c r="C229" s="6" t="s">
        <v>1254</v>
      </c>
      <c r="D229" s="12" t="s">
        <v>1744</v>
      </c>
      <c r="E229" s="6" t="s">
        <v>1256</v>
      </c>
      <c r="F229" s="6" t="s">
        <v>1745</v>
      </c>
    </row>
    <row r="230" customFormat="false" ht="15" hidden="false" customHeight="false" outlineLevel="0" collapsed="false">
      <c r="A230" s="6" t="s">
        <v>737</v>
      </c>
      <c r="B230" s="6" t="s">
        <v>822</v>
      </c>
      <c r="C230" s="6" t="s">
        <v>1269</v>
      </c>
      <c r="D230" s="12" t="s">
        <v>1689</v>
      </c>
      <c r="E230" s="6" t="s">
        <v>1271</v>
      </c>
      <c r="F230" s="6" t="s">
        <v>1690</v>
      </c>
    </row>
    <row r="231" customFormat="false" ht="15" hidden="false" customHeight="false" outlineLevel="0" collapsed="false">
      <c r="A231" s="6" t="s">
        <v>737</v>
      </c>
      <c r="B231" s="6" t="s">
        <v>837</v>
      </c>
      <c r="C231" s="6" t="s">
        <v>1262</v>
      </c>
      <c r="D231" s="12" t="s">
        <v>1746</v>
      </c>
      <c r="E231" s="6" t="s">
        <v>1309</v>
      </c>
      <c r="F231" s="6" t="s">
        <v>1743</v>
      </c>
    </row>
    <row r="232" customFormat="false" ht="15" hidden="false" customHeight="false" outlineLevel="0" collapsed="false">
      <c r="A232" s="6" t="s">
        <v>737</v>
      </c>
      <c r="B232" s="6" t="s">
        <v>837</v>
      </c>
      <c r="C232" s="6" t="s">
        <v>1269</v>
      </c>
      <c r="D232" s="12" t="s">
        <v>1712</v>
      </c>
      <c r="E232" s="6" t="s">
        <v>1271</v>
      </c>
      <c r="F232" s="6" t="s">
        <v>1713</v>
      </c>
    </row>
  </sheetData>
  <autoFilter ref="A1:F232"/>
  <hyperlinks>
    <hyperlink ref="D2" r:id="rId1" display="Handstand Basics for Kids with Coaches Becky and Ethan"/>
    <hyperlink ref="D3" r:id="rId2" display="The Handstand Shapes YOU Should Be Training"/>
    <hyperlink ref="D4" r:id="rId3" display="HOW TO HANDSTAND WALK. DRILLS, TIPS AND TRICKS TO LEARN FAST!"/>
    <hyperlink ref="D5" r:id="rId4" display="Handstand (stag and other variations)"/>
    <hyperlink ref="D6" r:id="rId5" display="Discover the Dynamic Levels of Acro Dance at Acrobatic Arts"/>
    <hyperlink ref="D7" r:id="rId6" display="Handstand drills (gymnastics) ideas"/>
    <hyperlink ref="D8" r:id="rId7" display="Mini acro drills board"/>
    <hyperlink ref="D9" r:id="rId8" display="Gymnastics for kids: How to Do A Handstand"/>
    <hyperlink ref="D10" r:id="rId9" display="4 Drills for Getting Stronger and Better at Handstands"/>
    <hyperlink ref="D11" r:id="rId10" display="Handstand Drills"/>
    <hyperlink ref="D12" r:id="rId11" display="Handstand pops!"/>
    <hyperlink ref="D13" r:id="rId12" display="Handstand drills (gymnastics) ideas"/>
    <hyperlink ref="D14" r:id="rId13" display="How To Do A Cartwheel Quick Version With Coach Meggin!"/>
    <hyperlink ref="D15" r:id="rId14" display="Teach your Kid a Cartwheel!"/>
    <hyperlink ref="D16" r:id="rId15" display="ACROBATICS Tutorial - One-Handed CARTWHEEL"/>
    <hyperlink ref="D17" r:id="rId16" display="Learn how to do a Heli Cartwheel"/>
    <hyperlink ref="D18" r:id="rId17" display="Ep. 111 Teaching the Heli: Tips Every Teacher Needs with Leah Holliday"/>
    <hyperlink ref="D19" r:id="rId18" display="Cartwheel drills for clean tumbling"/>
    <hyperlink ref="D20" r:id="rId19" display="Cartwheels / drills for beginners board"/>
    <hyperlink ref="D21" r:id="rId20" display="Steps For How To Do A Round Off With Coach Meggin!"/>
    <hyperlink ref="D22" r:id="rId21" display="How to do a Round-Off for Gymnasts &amp; Cheerleaders"/>
    <hyperlink ref="D23" r:id="rId22" display="Round Off/ Round Off Back Handspring Drill With Coach Meggin!"/>
    <hyperlink ref="D24" r:id="rId23" display="Roundoff"/>
    <hyperlink ref="D25" r:id="rId24" display="Cartwheel drills for round-off"/>
    <hyperlink ref="D26" r:id="rId25" display="Cartwheel &amp; round-off drills (video)"/>
    <hyperlink ref="D27" r:id="rId26" display="How To Do A Bridge And Backbend Kickover With Coach Meggin"/>
    <hyperlink ref="D28" r:id="rId27" display="How To Do A Front Walkover With Coach Meggin!"/>
    <hyperlink ref="D29" r:id="rId28" display="How To Do A Back Walkover With Good Technique And Coach Meggin!"/>
    <hyperlink ref="D30" r:id="rId29" display="Learn how to Dive Front Walkover with Jordan Clark!"/>
    <hyperlink ref="D31" r:id="rId30" display="How To Teach an Aerial In Acro Dance"/>
    <hyperlink ref="D32" r:id="rId31" display="How to do a front walkover step by step (ideas)"/>
    <hyperlink ref="D33" r:id="rId32" display="Back walkover tutorial (clip)"/>
    <hyperlink ref="D34" r:id="rId33" display="Front limber"/>
    <hyperlink ref="D35" r:id="rId34" display="Front Limber Tutorial"/>
    <hyperlink ref="D36" r:id="rId35" display="How to do a Front Limber for Beginners"/>
    <hyperlink ref="D37" r:id="rId36" display="Floor acro board"/>
    <hyperlink ref="D38" r:id="rId37" display="ELBOW STAND Tutorial - Artistic Gymnastics"/>
    <hyperlink ref="D39" r:id="rId38" display="How to do an elbow or forearm stand"/>
    <hyperlink ref="D40" r:id="rId39" display="Hollowback Forearmstand"/>
    <hyperlink ref="D41" r:id="rId40" display="Pose Breakdown: Forearm Hollow Back Pose"/>
    <hyperlink ref="D42" r:id="rId41" display="Gymnastics: How To Do A Tick Tock With Coach Meggin"/>
    <hyperlink ref="D43" r:id="rId42" display="How to do an elbow stand (ideas)"/>
    <hyperlink ref="D44" r:id="rId43" display="Elbow stand tutorial (clip)"/>
    <hyperlink ref="D45" r:id="rId44" display="Elbow stand in attitude"/>
    <hyperlink ref="D46" r:id="rId45" display="HOW TO: ELBOW CARTWHEEL | THE BASICS"/>
    <hyperlink ref="D47" r:id="rId46" display="Elbow Cartwheels - Gymnastics and Dance Tutorial"/>
    <hyperlink ref="D48" r:id="rId47" display="Acro Elbow Cartwheel"/>
    <hyperlink ref="D49" r:id="rId48" display="Headstand Progressions for Beginners"/>
    <hyperlink ref="D50" r:id="rId49" display="Stuck at home - Gymnastics coach teaches step by step how to learn a headstand?"/>
    <hyperlink ref="D51" r:id="rId50" display="Head Over Heels Gymnastics Tutorials, Learn a Headstand"/>
    <hyperlink ref="D52" r:id="rId51" display="Head Over Heels Gymnastics Tutorials, Straddle and Pike Headstands"/>
    <hyperlink ref="D53" r:id="rId52" display="Headstands: They're Not Just For Yogis"/>
    <hyperlink ref="D54" r:id="rId53" display="Gymnastics: Head Spring (Progressions)"/>
    <hyperlink ref="D55" r:id="rId54" display="TEACH YOUR GYMNAST A HEADSPRING WITH MATT JACKSON"/>
    <hyperlink ref="D56" r:id="rId55" display="Front Handspring, Headspring and Bounder Progressions"/>
    <hyperlink ref="D57" r:id="rId56" display="Headspring Tutorial - Wushu &amp; Parkour + Headspring without Hands"/>
    <hyperlink ref="D58" r:id="rId57" display="How to do the Headspring"/>
    <hyperlink ref="D59" r:id="rId58" display="How to do a headspring (video)"/>
    <hyperlink ref="D60" r:id="rId59" display="Kip-up"/>
    <hyperlink ref="D61" r:id="rId60" display="How To Do a Kip Up"/>
    <hyperlink ref="D62" r:id="rId61" display="HOW TO KIP UP FOR BEGINNERS: Kip Up Tutorial with Step by Step Progression"/>
    <hyperlink ref="D63" r:id="rId62" display="Kip Up / Kick Up - Tutorial"/>
    <hyperlink ref="D64" r:id="rId63" display="Kip up / kick up tutorial (video)"/>
    <hyperlink ref="D65" r:id="rId64" display="How to Do an Aerial Cartwheel (Step-by-Step + Drills)"/>
    <hyperlink ref="D66" r:id="rId65" display="video – aerial cartwheel tutorial"/>
    <hyperlink ref="D67" r:id="rId66" display="How To Do An Aerial (No Handed Cartwheel) For Beginners"/>
    <hyperlink ref="D68" r:id="rId67" display="Acrobatic Arts: Aerial and Back Handspring Workshop"/>
    <hyperlink ref="D69" r:id="rId68" display="How to aerial: a guide for athletes and coaches"/>
    <hyperlink ref="D70" r:id="rId69" display="Aerial cartwheel drills (ideas)"/>
    <hyperlink ref="D71" r:id="rId70" display="HOW TO LEARN TO DO A FRONT AERIAL - FRONT AERIAL TUTORIAL - Gymnastics and Cheer Tutorials"/>
    <hyperlink ref="D72" r:id="rId71" display="Front Aerial Training #TipsWithCoachK"/>
    <hyperlink ref="D73" r:id="rId72" display="How To Do A Front Aerial"/>
    <hyperlink ref="D74" r:id="rId73" display="Tumbling Skills in Order: Full Progression (Easy to Hard)"/>
    <hyperlink ref="D75" r:id="rId74" display="How to Do a Forward Roll in Gymnastics"/>
    <hyperlink ref="D76" r:id="rId75" display="Forward Roll skills card (PDST)"/>
    <hyperlink ref="D77" r:id="rId76" display="Gymnastics: Handstand Forward Roll With Bent and Straight Arms Tutorial With Coach Meggin"/>
    <hyperlink ref="D78" r:id="rId77" display="How To Do A Swan Dive Roll With Coach Meggin (Professional Gymnastics Coach)"/>
    <hyperlink ref="D79" r:id="rId78" display="How to do a Dive Roll - Learn Tricking"/>
    <hyperlink ref="D80" r:id="rId79" display="How to do a forward roll (beginner video)"/>
    <hyperlink ref="D81" r:id="rId80" display="Dive roll drills"/>
    <hyperlink ref="D82" r:id="rId81" display="Penche Roll #flip #acrobatics #acro"/>
    <hyperlink ref="D83" r:id="rId82" display="HOW TO DO CHEST ROLLS FOR DANCE, ACROBATICS, AND GYMNASTICS"/>
    <hyperlink ref="D84" r:id="rId83" display="Baby Crow to Full Crow Pose"/>
    <hyperlink ref="D85" r:id="rId84" display="HOW TO DO A CROW POSE FOR BEGINNERS - TIPS &amp; TRICKS TUTORIAL FOR CROW POSE"/>
    <hyperlink ref="D86" r:id="rId85" display="Calisthenics Skills Anyone Can Learn: The Crow Pose"/>
    <hyperlink ref="D87" r:id="rId86" display="The Fish Roll/Flop Tutorial and Demonstration from Just For Kix"/>
    <hyperlink ref="D88" r:id="rId87" display="Different Dance Rolls- Demonstration and Tutorial"/>
    <hyperlink ref="D89" r:id="rId88" display="Basic Shoulder Roll on the Floor"/>
    <hyperlink ref="D90" r:id="rId89" display="Backwards Shoulder Roll Tutorial-aka. Fish Flop"/>
    <hyperlink ref="D91" r:id="rId90" display="How to Do a Backward Roll in Gymnastics"/>
    <hyperlink ref="D92" r:id="rId91" display="How to Do a Back Extension Roll"/>
    <hyperlink ref="D93" r:id="rId92" display="Head Over Heels Gymnastics Tutorials, Learn how to do a Backwards Roll."/>
    <hyperlink ref="D94" r:id="rId93" display="How to: Backwards Roll to Straddle Stand - Badge 7"/>
    <hyperlink ref="D95" r:id="rId94" display="Back Extension Roll Drill for Beginners"/>
    <hyperlink ref="D96" r:id="rId95" display="Gymnastics at Home for Beginners: A Full Follow-Along Class (No Equipment Needed)"/>
    <hyperlink ref="D97" r:id="rId96" display="Shoulder stand or candle"/>
    <hyperlink ref="D98" r:id="rId97" display="Candlestick Conditioning Drills"/>
    <hyperlink ref="D99" r:id="rId98" display="Safety Guidelines for implementing chest stands into dance (PDF)"/>
    <hyperlink ref="D100" r:id="rId99" display="Discover the Dynamic Levels of Acro Dance at Acrobatic Arts"/>
    <hyperlink ref="D101" r:id="rId100" display="Skill Highlight: Chest Rolls"/>
    <hyperlink ref="D102" r:id="rId101" display="Chest/Chin Stand Tutorial"/>
    <hyperlink ref="D103" r:id="rId102" display="Floor acro board"/>
    <hyperlink ref="D104" r:id="rId103" display="How To Do A Valdez (Gymnastics Bridge Move) With Coach Meggin!"/>
    <hyperlink ref="D105" r:id="rId104" display="Skill Highlight: Valdez"/>
    <hyperlink ref="D106" r:id="rId105" display="Teaching Valdez (coaches' forum thread)"/>
    <hyperlink ref="D107" r:id="rId106" display="How to Do a Back Walkover: Step-by-Step + Drills"/>
    <hyperlink ref="D108" r:id="rId107" display="How to do a Valdez (ideas)"/>
    <hyperlink ref="D109" r:id="rId108" display="Valdez tutorial (clip)"/>
    <hyperlink ref="D110" r:id="rId109" display="Quick Rolling tinsica aka spider Acro trick tutorial"/>
    <hyperlink ref="D111" r:id="rId110" display="How To Do A Spider Advanced Acro Trick"/>
    <hyperlink ref="D112" r:id="rId111" display="AY Honor Tumbling &amp; Balancing - Advanced: Answer Key (tinsica description)"/>
    <hyperlink ref="D113" r:id="rId112" display="2027 Acrobatic Skill Set Guidelines (lists tinsica and Valdez by level)"/>
    <hyperlink ref="D114" r:id="rId113" display="Spider / rolling tinsica tutorial (video)"/>
    <hyperlink ref="D115" r:id="rId114" display="How to do a spider cartwheel (ideas)"/>
    <hyperlink ref="D116" r:id="rId115" display="How to Do a Front Tuck: Drills and Exercises to learn a Front Flip in Gymnastics"/>
    <hyperlink ref="D117" r:id="rId116" display="How To Do A Running Punch Front Tuck/Flip With Coach Meggin!"/>
    <hyperlink ref="D118" r:id="rId117" display="Improve Your Front Handspring And Front Tuck Flip With Coach Meggin!"/>
    <hyperlink ref="D119" r:id="rId118" display="Webster (trick description)"/>
    <hyperlink ref="D120" r:id="rId119" display="Back Tuck Drills &amp; Shaping Ideas For Cheer &amp; Gymnastics"/>
    <hyperlink ref="D121" r:id="rId120" display="How to Do a Standing Back Tuck: Tutorial!! Everyday Gymnastics"/>
    <hyperlink ref="D122" r:id="rId121" display="Tumbling Skills in Order: Full Progression (Easy to Hard)"/>
    <hyperlink ref="D123" r:id="rId122" display="How to Do a Front Handspring: Drills and Exercises to Help you Learn"/>
    <hyperlink ref="D124" r:id="rId123" display="How to Do a Back Handspring: Steps, Drills &amp; Fixes"/>
    <hyperlink ref="D125" r:id="rId124" display="Back Handspring Technique Drill With Coach Meggin!"/>
    <hyperlink ref="D126" r:id="rId125" display="How to Do A Front Handspring Stepout"/>
    <hyperlink ref="D127" r:id="rId126" display="Front Handspring, Headspring and Bounder Progressions"/>
    <hyperlink ref="D128" r:id="rId127" display="Back handspring drills board"/>
    <hyperlink ref="D129" r:id="rId128" display="How to Do a Round Off Back Handspring (Steps + Drills)"/>
    <hyperlink ref="D130" r:id="rId129" display="Gymnastics Lesson: How To Do A Round Off Back Handspring With Coach Meggin!"/>
    <hyperlink ref="D131" r:id="rId130" display="HOW TO TEACH YOUR GYMNAST AN ARABIAN (for dance acro classes)"/>
    <hyperlink ref="D132" r:id="rId131" display="Gymnastics Floor Skills List (Beginner to Advanced)"/>
    <hyperlink ref="D133" r:id="rId132" display="How To Side Flip - Detailed Flip Tutorial - Tapp Brothers"/>
    <hyperlink ref="D134" r:id="rId133" display="Round-off back handspring drills"/>
    <hyperlink ref="D135" r:id="rId134" display="How to Do a Handstand (Step-by-Step) + Drills &amp; Video"/>
    <hyperlink ref="D136" r:id="rId135" display="How to Hold a Handstand for a Long Time (4 Tips)"/>
    <hyperlink ref="D137" r:id="rId136" display="Chest/Chin Stand Tutorial"/>
    <hyperlink ref="D138" r:id="rId137" display="How To Do A Chest Roll / Chin Stand"/>
    <hyperlink ref="D139" r:id="rId138" display="How to chin stand (ideas)"/>
    <hyperlink ref="D140" r:id="rId139" display="Bronco (breaking glossary)"/>
    <hyperlink ref="D141" r:id="rId140" display="Breakdance - Broncos"/>
    <hyperlink ref="D142" r:id="rId141" display="How to Breakdance (bronco lesson)"/>
    <hyperlink ref="D143" r:id="rId142" display="Donkey Kick Drill for Handstand Improvement"/>
    <hyperlink ref="D144" r:id="rId143" display="Heel Stretch leg hold"/>
    <hyperlink ref="D145" r:id="rId144" display="How To Do A Leg Hold with @trainwithkendall"/>
    <hyperlink ref="D146" r:id="rId145" display="How to do a Needle / Straight Leg Scorpion"/>
    <hyperlink ref="D147" r:id="rId146" display="How to NEEDLE in 5 MINUTES! Straight Scorpion Tutorial (Erica Lin)"/>
    <hyperlink ref="D148" r:id="rId147" display="Acro: Y Stand &amp; Scorpion"/>
    <hyperlink ref="D149" r:id="rId148" display="How to do a needle / scorpion: stretches"/>
    <hyperlink ref="D150" r:id="rId149" display="How to get a perfect scorpion"/>
    <hyperlink ref="D151" r:id="rId150" display="Freeze (breakdancing move)"/>
    <hyperlink ref="D152" r:id="rId151" display="Break Advice: Fundamentals (baby, chair, elbow freeze videos)"/>
    <hyperlink ref="D153" r:id="rId152" display="BEGINNER BBOY FREEZES TUTORIAL (neutral, baby, shoulder, chair)"/>
    <hyperlink ref="D154" r:id="rId153" display="How to do turtles"/>
    <hyperlink ref="D155" r:id="rId154" display="How to do a shoulder spin (breaking)"/>
    <hyperlink ref="D156" r:id="rId155" display="How to breakdance: freezes board"/>
    <hyperlink ref="D157" r:id="rId156" display="Baby freeze (video)"/>
    <hyperlink ref="D158" r:id="rId157" display="How to do a backspin (beginner guide)"/>
    <hyperlink ref="D159" r:id="rId158" display="Backspin (breaking glossary)"/>
    <hyperlink ref="D160" r:id="rId159" display="Learn How To Backspin"/>
    <hyperlink ref="D161" r:id="rId160" display="Breakdancing Moves: How To Do A Backspin"/>
    <hyperlink ref="D162" r:id="rId161" display="Breakdancing: how to backspin (video)"/>
    <hyperlink ref="D163" r:id="rId162" display="VincaniTV breaking tutorials board"/>
    <hyperlink ref="D164" r:id="rId163" display="Scott Adkins 540 Kick Tutorial"/>
    <hyperlink ref="D165" r:id="rId164" display="Taekwondo 540 Kick Tutorial"/>
    <hyperlink ref="D166" r:id="rId165" display="How to 540 Kick"/>
    <hyperlink ref="D167" r:id="rId166" display="Sport Karate: How to 540 Kick"/>
    <hyperlink ref="D168" r:id="rId167" display="540 kick (ideas)"/>
    <hyperlink ref="D169" r:id="rId168" display="Butterfly Kick Tutorial — Drills to Learn It Smooth &amp; Safe"/>
    <hyperlink ref="D170" r:id="rId169" display="How to Butterfly Kick - Acrobatic Tricking Tutorial"/>
    <hyperlink ref="D171" r:id="rId170" display="Butterfly Twist Tutorial (B-Twist)"/>
    <hyperlink ref="D172" r:id="rId171" display="Butterfly kick"/>
    <hyperlink ref="D173" r:id="rId172" display="Butterfly kick tutorial (video)"/>
    <hyperlink ref="D174" r:id="rId173" display="Learn the Swipe - Breakdance"/>
    <hyperlink ref="D175" r:id="rId174" display="SWIPE POWERMOVE B-BOY TUTORIAL - HOW TO BREAKING POWER MOVE"/>
    <hyperlink ref="D176" r:id="rId175" display="How to do master swipe (breaking)"/>
    <hyperlink ref="D177" r:id="rId176" display="Swipe (breakdancing move)"/>
    <hyperlink ref="D178" r:id="rId177" display="How to Break Dance (coffee grinder steps)"/>
    <hyperlink ref="D179" r:id="rId178" display="B-boy tutorial: swipes (video)"/>
    <hyperlink ref="D180" r:id="rId179" display="Drop (breakdancing move)"/>
    <hyperlink ref="D181" r:id="rId180" display="How to KNEE DROP (Best &amp; Safest Technique)"/>
    <hyperlink ref="D182" r:id="rId181" display="How To Breakdance - Get Down - Knee Drop"/>
    <hyperlink ref="D183" r:id="rId182" display="Drops (The Breaks)"/>
    <hyperlink ref="D184" r:id="rId183" display="RUBBER BAND (CONTINUOUS KIP-UP) TUTORIAL"/>
    <hyperlink ref="D185" r:id="rId184" display="How to Breakdance - Kip up (kick up) Rubberbands Tutorial"/>
    <hyperlink ref="D186" r:id="rId185" display="Spin (breakdancing move)"/>
    <hyperlink ref="D187" r:id="rId186" display="How to do a 1990 spin - 90 breakdance tutorial"/>
    <hyperlink ref="D188" r:id="rId187" display="How to do 1990 | Ninety Tutorial | by Infinite Tutorials"/>
    <hyperlink ref="D189" r:id="rId188" display="Windmill (breakdancing move)"/>
    <hyperlink ref="D190" r:id="rId189" display="Learn How to Windmill - Complete Step by Step - Breakdance Tutorial"/>
    <hyperlink ref="D191" r:id="rId190" display="How To Coindrop Step by Step"/>
    <hyperlink ref="D192" r:id="rId191" display="Windmill - Breakdance Instruction"/>
    <hyperlink ref="D193" r:id="rId192" display="Learn how to windmill, step by step (video)"/>
    <hyperlink ref="D194" r:id="rId193" display="How to breakdance: power moves board"/>
    <hyperlink ref="D195" r:id="rId194" display="How to do a handglide"/>
    <hyperlink ref="D196" r:id="rId195" display="Hand Spin On One Hand - Break Dancing / Miroslav Bruise Zilka"/>
    <hyperlink ref="D197" r:id="rId196" display="Spin (breakdancing move)"/>
    <hyperlink ref="D198" r:id="rId197" display="How to breakdance: power moves board"/>
    <hyperlink ref="D199" r:id="rId198" display="Smw8 Acrobatics sequence (school partner acrobatics unit, includes the ankle-grip partner roll)"/>
    <hyperlink ref="D200" r:id="rId199" display="Easy Acrobatic Move: Duo Roll Over Trick"/>
    <hyperlink ref="D201" r:id="rId200" display="How To Do A Double Cartwheel - 2 Person Acro Cartwheel Tutorial"/>
    <hyperlink ref="D202" r:id="rId201" display="Acro partner tricks board"/>
    <hyperlink ref="D203" r:id="rId202" display="How To Do A Double Cartwheel - 2 Person Acro Cartwheel Tutorial"/>
    <hyperlink ref="D204" r:id="rId203" display="Double Cartwheel Quick Tutorial"/>
    <hyperlink ref="D205" r:id="rId204" display="Tutorial: How to endlessly cartwheel with a partner (in different variations!)"/>
    <hyperlink ref="D206" r:id="rId205" display="5 EASY Partner Cartwheels"/>
    <hyperlink ref="D207" r:id="rId206" display="Partner cartwheel (clip)"/>
    <hyperlink ref="D208" r:id="rId207" display="Acro partner tricks (ideas)"/>
    <hyperlink ref="D209" r:id="rId208" display="Acro dance (section on double tricks / partnering tricks and the pitch tuck)"/>
    <hyperlink ref="D210" r:id="rId209" display="Adagio (acrobatics)"/>
    <hyperlink ref="D211" r:id="rId210" display="Beginner Acro Partnering Tricks and Lifts"/>
    <hyperlink ref="D212" r:id="rId211" display="10 Ways to Partner Flip || Standing Acro || Partner Stunts"/>
    <hyperlink ref="D213" r:id="rId212" display="Partner Acro Conditioning"/>
    <hyperlink ref="D214" r:id="rId213" display="Acro dance lifts (ideas)"/>
    <hyperlink ref="D215" r:id="rId214" display="Acro stunts board"/>
    <hyperlink ref="D216" r:id="rId215" display="Acrobatic Skill Set Guidelines (lists butterfly as a transitional movement)"/>
    <hyperlink ref="D217" r:id="rId216" display="Partner Acro Dance Curriculum (lists a chinstand butterfly partner skill)"/>
    <hyperlink ref="D218" r:id="rId217" display="Acro partner tricks board"/>
    <hyperlink ref="D219" r:id="rId218" display="AcroYoga 101: Classic Sequence for Beginners"/>
    <hyperlink ref="D220" r:id="rId219" display="Partner Acro for Beginners: Front Plank"/>
    <hyperlink ref="D221" r:id="rId220" display="Acrobalance 2 (front and back balance, ages 8+)"/>
    <hyperlink ref="D222" r:id="rId221" display="Acro Partner Yoga (Front Angel and Back Angel)"/>
    <hyperlink ref="D223" r:id="rId222" display="Acrobatic partner tricks (ideas)"/>
    <hyperlink ref="D224" r:id="rId223" display="Partner Gymnastic Tricks!"/>
    <hyperlink ref="D225" r:id="rId224" display="Beginner Acro Partnering Tricks (Pre Acro Dance)"/>
    <hyperlink ref="D226" r:id="rId225" display="Acro partner tricks board"/>
    <hyperlink ref="D227" r:id="rId226" display="The art of pas de deux, part II (teaching catches safely)"/>
    <hyperlink ref="D228" r:id="rId227" display="Dance partnering (dance lifts)"/>
    <hyperlink ref="D229" r:id="rId228" display="5 Easy Dance Lifts &amp; Partnering Tutorial with @trainwithkendall"/>
    <hyperlink ref="D230" r:id="rId229" display="Acro partner tricks board"/>
    <hyperlink ref="D231" r:id="rId230" display="Dance partnering (dance lifts, general background)"/>
    <hyperlink ref="D232" r:id="rId231" display="Acro dance lifts (idea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3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20"/>
    <col collapsed="false" customWidth="true" hidden="false" outlineLevel="0" max="4" min="4" style="0" width="70"/>
    <col collapsed="false" customWidth="true" hidden="false" outlineLevel="0" max="5" min="5" style="0" width="13"/>
  </cols>
  <sheetData>
    <row r="1" customFormat="false" ht="30" hidden="false" customHeight="true" outlineLevel="0" collapsed="false">
      <c r="A1" s="5" t="s">
        <v>22</v>
      </c>
      <c r="B1" s="5" t="s">
        <v>24</v>
      </c>
      <c r="C1" s="5" t="s">
        <v>21</v>
      </c>
      <c r="D1" s="5" t="s">
        <v>1747</v>
      </c>
      <c r="E1" s="5" t="s">
        <v>1748</v>
      </c>
    </row>
    <row r="2" customFormat="false" ht="15" hidden="false" customHeight="false" outlineLevel="0" collapsed="false">
      <c r="A2" s="6" t="s">
        <v>36</v>
      </c>
      <c r="B2" s="6" t="s">
        <v>37</v>
      </c>
      <c r="C2" s="6" t="s">
        <v>35</v>
      </c>
      <c r="D2" s="8"/>
      <c r="E2" s="8"/>
    </row>
    <row r="3" customFormat="false" ht="15" hidden="false" customHeight="false" outlineLevel="0" collapsed="false">
      <c r="A3" s="6" t="s">
        <v>45</v>
      </c>
      <c r="B3" s="6" t="s">
        <v>46</v>
      </c>
      <c r="C3" s="6" t="s">
        <v>35</v>
      </c>
      <c r="D3" s="8"/>
      <c r="E3" s="8"/>
    </row>
    <row r="4" customFormat="false" ht="15" hidden="false" customHeight="false" outlineLevel="0" collapsed="false">
      <c r="A4" s="6" t="s">
        <v>50</v>
      </c>
      <c r="B4" s="6" t="s">
        <v>51</v>
      </c>
      <c r="C4" s="6" t="s">
        <v>35</v>
      </c>
      <c r="D4" s="8"/>
      <c r="E4" s="8"/>
    </row>
    <row r="5" customFormat="false" ht="15" hidden="false" customHeight="false" outlineLevel="0" collapsed="false">
      <c r="A5" s="6" t="s">
        <v>55</v>
      </c>
      <c r="B5" s="6" t="s">
        <v>56</v>
      </c>
      <c r="C5" s="6" t="s">
        <v>35</v>
      </c>
      <c r="D5" s="8"/>
      <c r="E5" s="8"/>
    </row>
    <row r="6" customFormat="false" ht="15" hidden="false" customHeight="false" outlineLevel="0" collapsed="false">
      <c r="A6" s="6" t="s">
        <v>50</v>
      </c>
      <c r="B6" s="6" t="s">
        <v>60</v>
      </c>
      <c r="C6" s="6" t="s">
        <v>35</v>
      </c>
      <c r="D6" s="8"/>
      <c r="E6" s="8"/>
    </row>
    <row r="7" customFormat="false" ht="15" hidden="false" customHeight="false" outlineLevel="0" collapsed="false">
      <c r="A7" s="6" t="s">
        <v>55</v>
      </c>
      <c r="B7" s="6" t="s">
        <v>94</v>
      </c>
      <c r="C7" s="6" t="s">
        <v>79</v>
      </c>
      <c r="D7" s="8"/>
      <c r="E7" s="8"/>
    </row>
    <row r="8" customFormat="false" ht="15" hidden="false" customHeight="false" outlineLevel="0" collapsed="false">
      <c r="A8" s="6" t="s">
        <v>45</v>
      </c>
      <c r="B8" s="6" t="s">
        <v>105</v>
      </c>
      <c r="C8" s="6" t="s">
        <v>98</v>
      </c>
      <c r="D8" s="8"/>
      <c r="E8" s="8"/>
    </row>
    <row r="9" customFormat="false" ht="15" hidden="false" customHeight="false" outlineLevel="0" collapsed="false">
      <c r="A9" s="6" t="s">
        <v>50</v>
      </c>
      <c r="B9" s="6" t="s">
        <v>109</v>
      </c>
      <c r="C9" s="6" t="s">
        <v>98</v>
      </c>
      <c r="D9" s="8"/>
      <c r="E9" s="8"/>
    </row>
    <row r="10" customFormat="false" ht="15" hidden="false" customHeight="false" outlineLevel="0" collapsed="false">
      <c r="A10" s="6" t="s">
        <v>50</v>
      </c>
      <c r="B10" s="6" t="s">
        <v>140</v>
      </c>
      <c r="C10" s="6" t="s">
        <v>113</v>
      </c>
      <c r="D10" s="8"/>
      <c r="E10" s="8"/>
    </row>
    <row r="11" customFormat="false" ht="15" hidden="false" customHeight="false" outlineLevel="0" collapsed="false">
      <c r="A11" s="6" t="s">
        <v>36</v>
      </c>
      <c r="B11" s="6" t="s">
        <v>154</v>
      </c>
      <c r="C11" s="6" t="s">
        <v>153</v>
      </c>
      <c r="D11" s="8"/>
      <c r="E11" s="8"/>
    </row>
    <row r="12" customFormat="false" ht="15" hidden="false" customHeight="false" outlineLevel="0" collapsed="false">
      <c r="A12" s="6" t="s">
        <v>45</v>
      </c>
      <c r="B12" s="6" t="s">
        <v>160</v>
      </c>
      <c r="C12" s="6" t="s">
        <v>153</v>
      </c>
      <c r="D12" s="8"/>
      <c r="E12" s="8"/>
    </row>
    <row r="13" customFormat="false" ht="15" hidden="false" customHeight="false" outlineLevel="0" collapsed="false">
      <c r="A13" s="6" t="s">
        <v>50</v>
      </c>
      <c r="B13" s="6" t="s">
        <v>164</v>
      </c>
      <c r="C13" s="6" t="s">
        <v>153</v>
      </c>
      <c r="D13" s="8"/>
      <c r="E13" s="8"/>
    </row>
    <row r="14" customFormat="false" ht="15" hidden="false" customHeight="false" outlineLevel="0" collapsed="false">
      <c r="A14" s="6" t="s">
        <v>55</v>
      </c>
      <c r="B14" s="6" t="s">
        <v>168</v>
      </c>
      <c r="C14" s="6" t="s">
        <v>153</v>
      </c>
      <c r="D14" s="8"/>
      <c r="E14" s="8"/>
    </row>
    <row r="15" customFormat="false" ht="15" hidden="false" customHeight="false" outlineLevel="0" collapsed="false">
      <c r="A15" s="6" t="s">
        <v>45</v>
      </c>
      <c r="B15" s="6" t="s">
        <v>172</v>
      </c>
      <c r="C15" s="6" t="s">
        <v>153</v>
      </c>
      <c r="D15" s="8"/>
      <c r="E15" s="8"/>
    </row>
    <row r="16" customFormat="false" ht="15" hidden="false" customHeight="false" outlineLevel="0" collapsed="false">
      <c r="A16" s="6" t="s">
        <v>55</v>
      </c>
      <c r="B16" s="6" t="s">
        <v>195</v>
      </c>
      <c r="C16" s="6" t="s">
        <v>180</v>
      </c>
      <c r="D16" s="8"/>
      <c r="E16" s="8"/>
    </row>
    <row r="17" customFormat="false" ht="15" hidden="false" customHeight="false" outlineLevel="0" collapsed="false">
      <c r="A17" s="6" t="s">
        <v>55</v>
      </c>
      <c r="B17" s="6" t="s">
        <v>213</v>
      </c>
      <c r="C17" s="6" t="s">
        <v>199</v>
      </c>
      <c r="D17" s="8"/>
      <c r="E17" s="8"/>
    </row>
    <row r="18" customFormat="false" ht="15" hidden="false" customHeight="false" outlineLevel="0" collapsed="false">
      <c r="A18" s="6" t="s">
        <v>36</v>
      </c>
      <c r="B18" s="6" t="s">
        <v>251</v>
      </c>
      <c r="C18" s="6" t="s">
        <v>250</v>
      </c>
      <c r="D18" s="8"/>
      <c r="E18" s="8"/>
    </row>
    <row r="19" customFormat="false" ht="15" hidden="false" customHeight="false" outlineLevel="0" collapsed="false">
      <c r="A19" s="6" t="s">
        <v>55</v>
      </c>
      <c r="B19" s="6" t="s">
        <v>268</v>
      </c>
      <c r="C19" s="6" t="s">
        <v>250</v>
      </c>
      <c r="D19" s="8"/>
      <c r="E19" s="8"/>
    </row>
    <row r="20" customFormat="false" ht="15" hidden="false" customHeight="false" outlineLevel="0" collapsed="false">
      <c r="A20" s="6" t="s">
        <v>50</v>
      </c>
      <c r="B20" s="6" t="s">
        <v>272</v>
      </c>
      <c r="C20" s="6" t="s">
        <v>250</v>
      </c>
      <c r="D20" s="8"/>
      <c r="E20" s="8"/>
    </row>
    <row r="21" customFormat="false" ht="15" hidden="false" customHeight="false" outlineLevel="0" collapsed="false">
      <c r="A21" s="6" t="s">
        <v>55</v>
      </c>
      <c r="B21" s="6" t="s">
        <v>299</v>
      </c>
      <c r="C21" s="6" t="s">
        <v>284</v>
      </c>
      <c r="D21" s="8"/>
      <c r="E21" s="8"/>
    </row>
    <row r="22" customFormat="false" ht="15" hidden="false" customHeight="false" outlineLevel="0" collapsed="false">
      <c r="A22" s="6" t="s">
        <v>36</v>
      </c>
      <c r="B22" s="6" t="s">
        <v>305</v>
      </c>
      <c r="C22" s="6" t="s">
        <v>305</v>
      </c>
      <c r="D22" s="8"/>
      <c r="E22" s="8"/>
    </row>
    <row r="23" customFormat="false" ht="15" hidden="false" customHeight="false" outlineLevel="0" collapsed="false">
      <c r="A23" s="6" t="s">
        <v>45</v>
      </c>
      <c r="B23" s="6" t="s">
        <v>310</v>
      </c>
      <c r="C23" s="6" t="s">
        <v>305</v>
      </c>
      <c r="D23" s="8"/>
      <c r="E23" s="8"/>
    </row>
    <row r="24" customFormat="false" ht="15" hidden="false" customHeight="false" outlineLevel="0" collapsed="false">
      <c r="A24" s="6" t="s">
        <v>50</v>
      </c>
      <c r="B24" s="6" t="s">
        <v>329</v>
      </c>
      <c r="C24" s="6" t="s">
        <v>319</v>
      </c>
      <c r="D24" s="8"/>
      <c r="E24" s="8"/>
    </row>
    <row r="25" customFormat="false" ht="15" hidden="false" customHeight="false" outlineLevel="0" collapsed="false">
      <c r="A25" s="6" t="s">
        <v>55</v>
      </c>
      <c r="B25" s="6" t="s">
        <v>331</v>
      </c>
      <c r="C25" s="6" t="s">
        <v>319</v>
      </c>
      <c r="D25" s="8"/>
      <c r="E25" s="8"/>
    </row>
    <row r="26" customFormat="false" ht="15" hidden="false" customHeight="false" outlineLevel="0" collapsed="false">
      <c r="A26" s="6" t="s">
        <v>36</v>
      </c>
      <c r="B26" s="6" t="s">
        <v>359</v>
      </c>
      <c r="C26" s="6" t="s">
        <v>358</v>
      </c>
      <c r="D26" s="8"/>
      <c r="E26" s="8"/>
    </row>
    <row r="27" customFormat="false" ht="15" hidden="false" customHeight="false" outlineLevel="0" collapsed="false">
      <c r="A27" s="6" t="s">
        <v>45</v>
      </c>
      <c r="B27" s="6" t="s">
        <v>365</v>
      </c>
      <c r="C27" s="6" t="s">
        <v>358</v>
      </c>
      <c r="D27" s="8"/>
      <c r="E27" s="8"/>
    </row>
    <row r="28" customFormat="false" ht="15" hidden="false" customHeight="false" outlineLevel="0" collapsed="false">
      <c r="A28" s="6" t="s">
        <v>50</v>
      </c>
      <c r="B28" s="6" t="s">
        <v>369</v>
      </c>
      <c r="C28" s="6" t="s">
        <v>358</v>
      </c>
      <c r="D28" s="8"/>
      <c r="E28" s="8"/>
    </row>
    <row r="29" customFormat="false" ht="15" hidden="false" customHeight="false" outlineLevel="0" collapsed="false">
      <c r="A29" s="6" t="s">
        <v>55</v>
      </c>
      <c r="B29" s="6" t="s">
        <v>373</v>
      </c>
      <c r="C29" s="6" t="s">
        <v>358</v>
      </c>
      <c r="D29" s="8"/>
      <c r="E29" s="8"/>
    </row>
    <row r="30" customFormat="false" ht="15" hidden="false" customHeight="false" outlineLevel="0" collapsed="false">
      <c r="A30" s="6" t="s">
        <v>36</v>
      </c>
      <c r="B30" s="6" t="s">
        <v>377</v>
      </c>
      <c r="C30" s="6" t="s">
        <v>377</v>
      </c>
      <c r="D30" s="8"/>
      <c r="E30" s="8"/>
    </row>
    <row r="31" customFormat="false" ht="15" hidden="false" customHeight="false" outlineLevel="0" collapsed="false">
      <c r="A31" s="6" t="s">
        <v>45</v>
      </c>
      <c r="B31" s="6" t="s">
        <v>383</v>
      </c>
      <c r="C31" s="6" t="s">
        <v>377</v>
      </c>
      <c r="D31" s="8"/>
      <c r="E31" s="8"/>
    </row>
    <row r="32" customFormat="false" ht="15" hidden="false" customHeight="false" outlineLevel="0" collapsed="false">
      <c r="A32" s="6" t="s">
        <v>50</v>
      </c>
      <c r="B32" s="6" t="s">
        <v>387</v>
      </c>
      <c r="C32" s="6" t="s">
        <v>377</v>
      </c>
      <c r="D32" s="8"/>
      <c r="E32" s="8"/>
    </row>
    <row r="33" customFormat="false" ht="15" hidden="false" customHeight="false" outlineLevel="0" collapsed="false">
      <c r="A33" s="6" t="s">
        <v>55</v>
      </c>
      <c r="B33" s="6" t="s">
        <v>391</v>
      </c>
      <c r="C33" s="6" t="s">
        <v>377</v>
      </c>
      <c r="D33" s="8"/>
      <c r="E33" s="8"/>
    </row>
    <row r="34" customFormat="false" ht="15" hidden="false" customHeight="false" outlineLevel="0" collapsed="false">
      <c r="A34" s="6" t="s">
        <v>45</v>
      </c>
      <c r="B34" s="6" t="s">
        <v>395</v>
      </c>
      <c r="C34" s="6" t="s">
        <v>377</v>
      </c>
      <c r="D34" s="8"/>
      <c r="E34" s="8"/>
    </row>
    <row r="35" customFormat="false" ht="15" hidden="false" customHeight="false" outlineLevel="0" collapsed="false">
      <c r="A35" s="6" t="s">
        <v>50</v>
      </c>
      <c r="B35" s="6" t="s">
        <v>407</v>
      </c>
      <c r="C35" s="6" t="s">
        <v>377</v>
      </c>
      <c r="D35" s="8"/>
      <c r="E35" s="8"/>
    </row>
    <row r="36" customFormat="false" ht="15" hidden="false" customHeight="false" outlineLevel="0" collapsed="false">
      <c r="A36" s="6" t="s">
        <v>36</v>
      </c>
      <c r="B36" s="6" t="s">
        <v>412</v>
      </c>
      <c r="C36" s="6" t="s">
        <v>411</v>
      </c>
      <c r="D36" s="8"/>
      <c r="E36" s="8"/>
    </row>
    <row r="37" customFormat="false" ht="15" hidden="false" customHeight="false" outlineLevel="0" collapsed="false">
      <c r="A37" s="6" t="s">
        <v>45</v>
      </c>
      <c r="B37" s="6" t="s">
        <v>418</v>
      </c>
      <c r="C37" s="6" t="s">
        <v>411</v>
      </c>
      <c r="D37" s="8"/>
      <c r="E37" s="8"/>
    </row>
    <row r="38" customFormat="false" ht="15" hidden="false" customHeight="false" outlineLevel="0" collapsed="false">
      <c r="A38" s="6" t="s">
        <v>55</v>
      </c>
      <c r="B38" s="6" t="s">
        <v>426</v>
      </c>
      <c r="C38" s="6" t="s">
        <v>411</v>
      </c>
      <c r="D38" s="8"/>
      <c r="E38" s="8"/>
    </row>
    <row r="39" customFormat="false" ht="15" hidden="false" customHeight="false" outlineLevel="0" collapsed="false">
      <c r="A39" s="6" t="s">
        <v>55</v>
      </c>
      <c r="B39" s="6" t="s">
        <v>479</v>
      </c>
      <c r="C39" s="6" t="s">
        <v>456</v>
      </c>
      <c r="D39" s="8"/>
      <c r="E39" s="8"/>
    </row>
    <row r="40" customFormat="false" ht="15" hidden="false" customHeight="false" outlineLevel="0" collapsed="false">
      <c r="A40" s="6" t="s">
        <v>45</v>
      </c>
      <c r="B40" s="6" t="s">
        <v>533</v>
      </c>
      <c r="C40" s="6" t="s">
        <v>527</v>
      </c>
      <c r="D40" s="8"/>
      <c r="E40" s="8"/>
    </row>
    <row r="41" customFormat="false" ht="15" hidden="false" customHeight="false" outlineLevel="0" collapsed="false">
      <c r="A41" s="6" t="s">
        <v>50</v>
      </c>
      <c r="B41" s="6" t="s">
        <v>537</v>
      </c>
      <c r="C41" s="6" t="s">
        <v>527</v>
      </c>
      <c r="D41" s="8"/>
      <c r="E41" s="8"/>
    </row>
    <row r="42" customFormat="false" ht="15" hidden="false" customHeight="false" outlineLevel="0" collapsed="false">
      <c r="A42" s="6" t="s">
        <v>36</v>
      </c>
      <c r="B42" s="6" t="s">
        <v>554</v>
      </c>
      <c r="C42" s="6" t="s">
        <v>539</v>
      </c>
      <c r="D42" s="8"/>
      <c r="E42" s="8"/>
    </row>
    <row r="43" customFormat="false" ht="15" hidden="false" customHeight="false" outlineLevel="0" collapsed="false">
      <c r="A43" s="6" t="s">
        <v>45</v>
      </c>
      <c r="B43" s="6" t="s">
        <v>569</v>
      </c>
      <c r="C43" s="6" t="s">
        <v>562</v>
      </c>
      <c r="D43" s="8"/>
      <c r="E43" s="8"/>
    </row>
    <row r="44" customFormat="false" ht="15" hidden="false" customHeight="false" outlineLevel="0" collapsed="false">
      <c r="A44" s="6" t="s">
        <v>36</v>
      </c>
      <c r="B44" s="6" t="s">
        <v>589</v>
      </c>
      <c r="C44" s="6" t="s">
        <v>562</v>
      </c>
      <c r="D44" s="8"/>
      <c r="E44" s="8"/>
    </row>
    <row r="45" customFormat="false" ht="15" hidden="false" customHeight="false" outlineLevel="0" collapsed="false">
      <c r="A45" s="6" t="s">
        <v>45</v>
      </c>
      <c r="B45" s="6" t="s">
        <v>593</v>
      </c>
      <c r="C45" s="6" t="s">
        <v>562</v>
      </c>
      <c r="D45" s="8"/>
      <c r="E45" s="8"/>
    </row>
    <row r="46" customFormat="false" ht="15" hidden="false" customHeight="false" outlineLevel="0" collapsed="false">
      <c r="A46" s="6" t="s">
        <v>50</v>
      </c>
      <c r="B46" s="6" t="s">
        <v>597</v>
      </c>
      <c r="C46" s="6" t="s">
        <v>562</v>
      </c>
      <c r="D46" s="8"/>
      <c r="E46" s="8"/>
    </row>
    <row r="47" customFormat="false" ht="15" hidden="false" customHeight="false" outlineLevel="0" collapsed="false">
      <c r="A47" s="6" t="s">
        <v>50</v>
      </c>
      <c r="B47" s="6" t="s">
        <v>601</v>
      </c>
      <c r="C47" s="6" t="s">
        <v>562</v>
      </c>
      <c r="D47" s="8"/>
      <c r="E47" s="8"/>
    </row>
    <row r="48" customFormat="false" ht="15" hidden="false" customHeight="false" outlineLevel="0" collapsed="false">
      <c r="A48" s="6" t="s">
        <v>50</v>
      </c>
      <c r="B48" s="6" t="s">
        <v>609</v>
      </c>
      <c r="C48" s="6" t="s">
        <v>562</v>
      </c>
      <c r="D48" s="8"/>
      <c r="E48" s="8"/>
    </row>
    <row r="49" customFormat="false" ht="15" hidden="false" customHeight="false" outlineLevel="0" collapsed="false">
      <c r="A49" s="6" t="s">
        <v>45</v>
      </c>
      <c r="B49" s="6" t="s">
        <v>629</v>
      </c>
      <c r="C49" s="6" t="s">
        <v>628</v>
      </c>
      <c r="D49" s="8"/>
      <c r="E49" s="8"/>
    </row>
    <row r="50" customFormat="false" ht="15" hidden="false" customHeight="false" outlineLevel="0" collapsed="false">
      <c r="A50" s="6" t="s">
        <v>50</v>
      </c>
      <c r="B50" s="6" t="s">
        <v>635</v>
      </c>
      <c r="C50" s="6" t="s">
        <v>628</v>
      </c>
      <c r="D50" s="8"/>
      <c r="E50" s="8"/>
    </row>
    <row r="51" customFormat="false" ht="15" hidden="false" customHeight="false" outlineLevel="0" collapsed="false">
      <c r="A51" s="6" t="s">
        <v>45</v>
      </c>
      <c r="B51" s="6" t="s">
        <v>643</v>
      </c>
      <c r="C51" s="6" t="s">
        <v>642</v>
      </c>
      <c r="D51" s="8"/>
      <c r="E51" s="8"/>
    </row>
    <row r="52" customFormat="false" ht="15" hidden="false" customHeight="false" outlineLevel="0" collapsed="false">
      <c r="A52" s="6" t="s">
        <v>45</v>
      </c>
      <c r="B52" s="6" t="s">
        <v>656</v>
      </c>
      <c r="C52" s="6" t="s">
        <v>655</v>
      </c>
      <c r="D52" s="8"/>
      <c r="E52" s="8"/>
    </row>
    <row r="53" customFormat="false" ht="15" hidden="false" customHeight="false" outlineLevel="0" collapsed="false">
      <c r="A53" s="6" t="s">
        <v>50</v>
      </c>
      <c r="B53" s="6" t="s">
        <v>661</v>
      </c>
      <c r="C53" s="6" t="s">
        <v>655</v>
      </c>
      <c r="D53" s="8"/>
      <c r="E53" s="8"/>
    </row>
    <row r="54" customFormat="false" ht="15" hidden="false" customHeight="false" outlineLevel="0" collapsed="false">
      <c r="A54" s="6" t="s">
        <v>55</v>
      </c>
      <c r="B54" s="6" t="s">
        <v>678</v>
      </c>
      <c r="C54" s="6" t="s">
        <v>663</v>
      </c>
      <c r="D54" s="8"/>
      <c r="E54" s="8"/>
    </row>
    <row r="55" customFormat="false" ht="15" hidden="false" customHeight="false" outlineLevel="0" collapsed="false">
      <c r="A55" s="6" t="s">
        <v>50</v>
      </c>
      <c r="B55" s="6" t="s">
        <v>681</v>
      </c>
      <c r="C55" s="6" t="s">
        <v>680</v>
      </c>
      <c r="D55" s="8"/>
      <c r="E55" s="8"/>
    </row>
    <row r="56" customFormat="false" ht="15" hidden="false" customHeight="false" outlineLevel="0" collapsed="false">
      <c r="A56" s="6" t="s">
        <v>55</v>
      </c>
      <c r="B56" s="6" t="s">
        <v>686</v>
      </c>
      <c r="C56" s="6" t="s">
        <v>680</v>
      </c>
      <c r="D56" s="8"/>
      <c r="E56" s="8"/>
    </row>
    <row r="57" customFormat="false" ht="15" hidden="false" customHeight="false" outlineLevel="0" collapsed="false">
      <c r="A57" s="6" t="s">
        <v>50</v>
      </c>
      <c r="B57" s="6" t="s">
        <v>688</v>
      </c>
      <c r="C57" s="6" t="s">
        <v>680</v>
      </c>
      <c r="D57" s="8"/>
      <c r="E57" s="8"/>
    </row>
    <row r="58" customFormat="false" ht="15" hidden="false" customHeight="false" outlineLevel="0" collapsed="false">
      <c r="A58" s="6" t="s">
        <v>50</v>
      </c>
      <c r="B58" s="6" t="s">
        <v>729</v>
      </c>
      <c r="C58" s="6" t="s">
        <v>728</v>
      </c>
      <c r="D58" s="8"/>
      <c r="E58" s="8"/>
    </row>
    <row r="59" customFormat="false" ht="15" hidden="false" customHeight="false" outlineLevel="0" collapsed="false">
      <c r="A59" s="6" t="s">
        <v>55</v>
      </c>
      <c r="B59" s="6" t="s">
        <v>735</v>
      </c>
      <c r="C59" s="6" t="s">
        <v>728</v>
      </c>
      <c r="D59" s="8"/>
      <c r="E59" s="8"/>
    </row>
    <row r="60" customFormat="false" ht="15" hidden="false" customHeight="false" outlineLevel="0" collapsed="false">
      <c r="A60" s="6" t="s">
        <v>45</v>
      </c>
      <c r="B60" s="6" t="s">
        <v>739</v>
      </c>
      <c r="C60" s="6" t="s">
        <v>738</v>
      </c>
      <c r="D60" s="8"/>
      <c r="E60" s="8"/>
    </row>
    <row r="61" customFormat="false" ht="15" hidden="false" customHeight="false" outlineLevel="0" collapsed="false">
      <c r="A61" s="6" t="s">
        <v>50</v>
      </c>
      <c r="B61" s="6" t="s">
        <v>745</v>
      </c>
      <c r="C61" s="6" t="s">
        <v>738</v>
      </c>
      <c r="D61" s="8"/>
      <c r="E61" s="8"/>
    </row>
    <row r="62" customFormat="false" ht="15" hidden="false" customHeight="false" outlineLevel="0" collapsed="false">
      <c r="A62" s="6" t="s">
        <v>45</v>
      </c>
      <c r="B62" s="6" t="s">
        <v>750</v>
      </c>
      <c r="C62" s="6" t="s">
        <v>749</v>
      </c>
      <c r="D62" s="8"/>
      <c r="E62" s="8"/>
    </row>
    <row r="63" customFormat="false" ht="15" hidden="false" customHeight="false" outlineLevel="0" collapsed="false">
      <c r="A63" s="6" t="s">
        <v>50</v>
      </c>
      <c r="B63" s="6" t="s">
        <v>756</v>
      </c>
      <c r="C63" s="6" t="s">
        <v>749</v>
      </c>
      <c r="D63" s="8"/>
      <c r="E63" s="8"/>
    </row>
    <row r="64" customFormat="false" ht="15" hidden="false" customHeight="false" outlineLevel="0" collapsed="false">
      <c r="A64" s="6" t="s">
        <v>36</v>
      </c>
      <c r="B64" s="6" t="s">
        <v>761</v>
      </c>
      <c r="C64" s="6" t="s">
        <v>760</v>
      </c>
      <c r="D64" s="8"/>
      <c r="E64" s="8"/>
    </row>
    <row r="65" customFormat="false" ht="15" hidden="false" customHeight="false" outlineLevel="0" collapsed="false">
      <c r="A65" s="6" t="s">
        <v>50</v>
      </c>
      <c r="B65" s="6" t="s">
        <v>767</v>
      </c>
      <c r="C65" s="6" t="s">
        <v>760</v>
      </c>
      <c r="D65" s="8"/>
      <c r="E65" s="8"/>
    </row>
    <row r="66" customFormat="false" ht="15" hidden="false" customHeight="false" outlineLevel="0" collapsed="false">
      <c r="A66" s="6" t="s">
        <v>55</v>
      </c>
      <c r="B66" s="6" t="s">
        <v>771</v>
      </c>
      <c r="C66" s="6" t="s">
        <v>760</v>
      </c>
      <c r="D66" s="8"/>
      <c r="E66" s="8"/>
    </row>
    <row r="67" customFormat="false" ht="15" hidden="false" customHeight="false" outlineLevel="0" collapsed="false">
      <c r="A67" s="6" t="s">
        <v>55</v>
      </c>
      <c r="B67" s="6" t="s">
        <v>779</v>
      </c>
      <c r="C67" s="6" t="s">
        <v>760</v>
      </c>
      <c r="D67" s="8"/>
      <c r="E67" s="8"/>
    </row>
    <row r="68" customFormat="false" ht="15" hidden="false" customHeight="false" outlineLevel="0" collapsed="false">
      <c r="A68" s="6" t="s">
        <v>50</v>
      </c>
      <c r="B68" s="6" t="s">
        <v>783</v>
      </c>
      <c r="C68" s="6" t="s">
        <v>760</v>
      </c>
      <c r="D68" s="8"/>
      <c r="E68" s="8"/>
    </row>
    <row r="69" customFormat="false" ht="15" hidden="false" customHeight="false" outlineLevel="0" collapsed="false">
      <c r="A69" s="6" t="s">
        <v>50</v>
      </c>
      <c r="B69" s="6" t="s">
        <v>788</v>
      </c>
      <c r="C69" s="6" t="s">
        <v>787</v>
      </c>
      <c r="D69" s="8"/>
      <c r="E69" s="8"/>
    </row>
    <row r="70" customFormat="false" ht="15" hidden="false" customHeight="false" outlineLevel="0" collapsed="false">
      <c r="A70" s="6" t="s">
        <v>55</v>
      </c>
      <c r="B70" s="6" t="s">
        <v>794</v>
      </c>
      <c r="C70" s="6" t="s">
        <v>787</v>
      </c>
      <c r="D70" s="8"/>
      <c r="E70" s="8"/>
    </row>
    <row r="71" customFormat="false" ht="15" hidden="false" customHeight="false" outlineLevel="0" collapsed="false">
      <c r="A71" s="6" t="s">
        <v>50</v>
      </c>
      <c r="B71" s="6" t="s">
        <v>803</v>
      </c>
      <c r="C71" s="6" t="s">
        <v>796</v>
      </c>
      <c r="D71" s="8"/>
      <c r="E71" s="8"/>
    </row>
    <row r="72" customFormat="false" ht="15" hidden="false" customHeight="false" outlineLevel="0" collapsed="false">
      <c r="A72" s="6" t="s">
        <v>55</v>
      </c>
      <c r="B72" s="6" t="s">
        <v>807</v>
      </c>
      <c r="C72" s="6" t="s">
        <v>796</v>
      </c>
      <c r="D72" s="8"/>
      <c r="E72" s="8"/>
    </row>
    <row r="73" customFormat="false" ht="15" hidden="false" customHeight="false" outlineLevel="0" collapsed="false">
      <c r="A73" s="6" t="s">
        <v>45</v>
      </c>
      <c r="B73" s="6" t="s">
        <v>812</v>
      </c>
      <c r="C73" s="6" t="s">
        <v>811</v>
      </c>
      <c r="D73" s="8"/>
      <c r="E73" s="8"/>
    </row>
    <row r="74" customFormat="false" ht="15" hidden="false" customHeight="false" outlineLevel="0" collapsed="false">
      <c r="A74" s="6" t="s">
        <v>50</v>
      </c>
      <c r="B74" s="6" t="s">
        <v>818</v>
      </c>
      <c r="C74" s="6" t="s">
        <v>811</v>
      </c>
      <c r="D74" s="8"/>
      <c r="E74" s="8"/>
    </row>
    <row r="75" customFormat="false" ht="15" hidden="false" customHeight="false" outlineLevel="0" collapsed="false">
      <c r="A75" s="6" t="s">
        <v>50</v>
      </c>
      <c r="B75" s="6" t="s">
        <v>829</v>
      </c>
      <c r="C75" s="6" t="s">
        <v>822</v>
      </c>
      <c r="D75" s="8"/>
      <c r="E75" s="8"/>
    </row>
    <row r="76" customFormat="false" ht="15" hidden="false" customHeight="false" outlineLevel="0" collapsed="false">
      <c r="A76" s="6" t="s">
        <v>55</v>
      </c>
      <c r="B76" s="6" t="s">
        <v>833</v>
      </c>
      <c r="C76" s="6" t="s">
        <v>822</v>
      </c>
      <c r="D76" s="8"/>
      <c r="E76" s="8"/>
    </row>
    <row r="77" customFormat="false" ht="15" hidden="false" customHeight="false" outlineLevel="0" collapsed="false">
      <c r="A77" s="6" t="s">
        <v>50</v>
      </c>
      <c r="B77" s="6" t="s">
        <v>838</v>
      </c>
      <c r="C77" s="6" t="s">
        <v>837</v>
      </c>
      <c r="D77" s="8"/>
      <c r="E77" s="8"/>
    </row>
    <row r="78" customFormat="false" ht="15" hidden="false" customHeight="false" outlineLevel="0" collapsed="false">
      <c r="A78" s="6" t="s">
        <v>55</v>
      </c>
      <c r="B78" s="6" t="s">
        <v>843</v>
      </c>
      <c r="C78" s="6" t="s">
        <v>837</v>
      </c>
      <c r="D78" s="8"/>
      <c r="E78" s="8"/>
    </row>
  </sheetData>
  <autoFilter ref="A1:E7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7" min="2" style="0" width="14"/>
  </cols>
  <sheetData>
    <row r="1" customFormat="false" ht="16.15" hidden="false" customHeight="false" outlineLevel="0" collapsed="false">
      <c r="A1" s="13" t="s">
        <v>1749</v>
      </c>
    </row>
    <row r="3" customFormat="false" ht="15" hidden="false" customHeight="false" outlineLevel="0" collapsed="false">
      <c r="A3" s="14"/>
      <c r="B3" s="14" t="s">
        <v>36</v>
      </c>
      <c r="C3" s="14" t="s">
        <v>45</v>
      </c>
      <c r="D3" s="14" t="s">
        <v>50</v>
      </c>
      <c r="E3" s="14" t="s">
        <v>55</v>
      </c>
      <c r="F3" s="14" t="s">
        <v>515</v>
      </c>
      <c r="G3" s="14" t="s">
        <v>1750</v>
      </c>
    </row>
    <row r="4" customFormat="false" ht="15" hidden="false" customHeight="false" outlineLevel="0" collapsed="false">
      <c r="A4" s="15" t="s">
        <v>1751</v>
      </c>
      <c r="B4" s="16" t="n">
        <f aca="false">COUNTIFS(Skills!$C$2:$C$176,"Level 1")</f>
        <v>26</v>
      </c>
      <c r="C4" s="16" t="n">
        <f aca="false">COUNTIFS(Skills!$C$2:$C$176,"Level 2")</f>
        <v>45</v>
      </c>
      <c r="D4" s="16" t="n">
        <f aca="false">COUNTIFS(Skills!$C$2:$C$176,"Level 3")</f>
        <v>56</v>
      </c>
      <c r="E4" s="16" t="n">
        <f aca="false">COUNTIFS(Skills!$C$2:$C$176,"Level 4")</f>
        <v>46</v>
      </c>
      <c r="F4" s="16" t="n">
        <f aca="false">COUNTIFS(Skills!$C$2:$C$176,"Bonus")</f>
        <v>2</v>
      </c>
      <c r="G4" s="15" t="n">
        <f aca="false">SUM(B4:F4)</f>
        <v>175</v>
      </c>
    </row>
    <row r="5" customFormat="false" ht="15" hidden="false" customHeight="false" outlineLevel="0" collapsed="false">
      <c r="A5" s="15" t="s">
        <v>316</v>
      </c>
      <c r="B5" s="16" t="n">
        <f aca="false">COUNTIFS(Skills!$C$2:$C$176,"Level 1",Skills!$I$2:$I$176,"Home")</f>
        <v>5</v>
      </c>
      <c r="C5" s="16" t="n">
        <f aca="false">COUNTIFS(Skills!$C$2:$C$176,"Level 2",Skills!$I$2:$I$176,"Home")</f>
        <v>4</v>
      </c>
      <c r="D5" s="16" t="n">
        <f aca="false">COUNTIFS(Skills!$C$2:$C$176,"Level 3",Skills!$I$2:$I$176,"Home")</f>
        <v>2</v>
      </c>
      <c r="E5" s="16" t="n">
        <f aca="false">COUNTIFS(Skills!$C$2:$C$176,"Level 4",Skills!$I$2:$I$176,"Home")</f>
        <v>1</v>
      </c>
      <c r="F5" s="16" t="n">
        <f aca="false">COUNTIFS(Skills!$C$2:$C$176,"Bonus",Skills!$I$2:$I$176,"Home")</f>
        <v>0</v>
      </c>
      <c r="G5" s="15" t="n">
        <f aca="false">SUM(B5:F5)</f>
        <v>12</v>
      </c>
    </row>
    <row r="6" customFormat="false" ht="15" hidden="false" customHeight="false" outlineLevel="0" collapsed="false">
      <c r="A6" s="15" t="s">
        <v>41</v>
      </c>
      <c r="B6" s="16" t="n">
        <f aca="false">COUNTIFS(Skills!$C$2:$C$176,"Level 1",Skills!$I$2:$I$176,"Home + adult")</f>
        <v>13</v>
      </c>
      <c r="C6" s="16" t="n">
        <f aca="false">COUNTIFS(Skills!$C$2:$C$176,"Level 2",Skills!$I$2:$I$176,"Home + adult")</f>
        <v>22</v>
      </c>
      <c r="D6" s="16" t="n">
        <f aca="false">COUNTIFS(Skills!$C$2:$C$176,"Level 3",Skills!$I$2:$I$176,"Home + adult")</f>
        <v>21</v>
      </c>
      <c r="E6" s="16" t="n">
        <f aca="false">COUNTIFS(Skills!$C$2:$C$176,"Level 4",Skills!$I$2:$I$176,"Home + adult")</f>
        <v>17</v>
      </c>
      <c r="F6" s="16" t="n">
        <f aca="false">COUNTIFS(Skills!$C$2:$C$176,"Bonus",Skills!$I$2:$I$176,"Home + adult")</f>
        <v>2</v>
      </c>
      <c r="G6" s="15" t="n">
        <f aca="false">SUM(B6:F6)</f>
        <v>75</v>
      </c>
    </row>
    <row r="7" customFormat="false" ht="15" hidden="false" customHeight="false" outlineLevel="0" collapsed="false">
      <c r="A7" s="15" t="s">
        <v>102</v>
      </c>
      <c r="B7" s="16" t="n">
        <f aca="false">COUNTIFS(Skills!$C$2:$C$176,"Level 1",Skills!$I$2:$I$176,"Class only")</f>
        <v>8</v>
      </c>
      <c r="C7" s="16" t="n">
        <f aca="false">COUNTIFS(Skills!$C$2:$C$176,"Level 2",Skills!$I$2:$I$176,"Class only")</f>
        <v>19</v>
      </c>
      <c r="D7" s="16" t="n">
        <f aca="false">COUNTIFS(Skills!$C$2:$C$176,"Level 3",Skills!$I$2:$I$176,"Class only")</f>
        <v>33</v>
      </c>
      <c r="E7" s="16" t="n">
        <f aca="false">COUNTIFS(Skills!$C$2:$C$176,"Level 4",Skills!$I$2:$I$176,"Class only")</f>
        <v>28</v>
      </c>
      <c r="F7" s="16" t="n">
        <f aca="false">COUNTIFS(Skills!$C$2:$C$176,"Bonus",Skills!$I$2:$I$176,"Class only")</f>
        <v>0</v>
      </c>
      <c r="G7" s="15" t="n">
        <f aca="false">SUM(B7:F7)</f>
        <v>88</v>
      </c>
    </row>
    <row r="8" customFormat="false" ht="15" hidden="false" customHeight="false" outlineLevel="0" collapsed="false">
      <c r="A8" s="15" t="s">
        <v>309</v>
      </c>
      <c r="B8" s="16" t="n">
        <f aca="false">COUNTIFS(Skills!$C$2:$C$176,"Level 1",Skills!$L$2:$L$176,"Yes")</f>
        <v>10</v>
      </c>
      <c r="C8" s="16" t="n">
        <f aca="false">COUNTIFS(Skills!$C$2:$C$176,"Level 2",Skills!$L$2:$L$176,"Yes")</f>
        <v>18</v>
      </c>
      <c r="D8" s="16" t="n">
        <f aca="false">COUNTIFS(Skills!$C$2:$C$176,"Level 3",Skills!$L$2:$L$176,"Yes")</f>
        <v>28</v>
      </c>
      <c r="E8" s="16" t="n">
        <f aca="false">COUNTIFS(Skills!$C$2:$C$176,"Level 4",Skills!$L$2:$L$176,"Yes")</f>
        <v>21</v>
      </c>
      <c r="F8" s="16" t="n">
        <f aca="false">COUNTIFS(Skills!$C$2:$C$176,"Bonus",Skills!$L$2:$L$176,"Yes")</f>
        <v>0</v>
      </c>
      <c r="G8" s="15" t="n">
        <f aca="false">SUM(B8:F8)</f>
        <v>77</v>
      </c>
    </row>
    <row r="9" customFormat="false" ht="15" hidden="false" customHeight="false" outlineLevel="0" collapsed="false">
      <c r="A9" s="15" t="s">
        <v>1752</v>
      </c>
      <c r="B9" s="16" t="n">
        <f aca="false">COUNTIFS(Skills!$C$2:$C$176,"Level 1",Skills!$M$2:$M$176,"Learning")</f>
        <v>0</v>
      </c>
      <c r="C9" s="16" t="n">
        <f aca="false">COUNTIFS(Skills!$C$2:$C$176,"Level 2",Skills!$M$2:$M$176,"Learning")</f>
        <v>0</v>
      </c>
      <c r="D9" s="16" t="n">
        <f aca="false">COUNTIFS(Skills!$C$2:$C$176,"Level 3",Skills!$M$2:$M$176,"Learning")</f>
        <v>0</v>
      </c>
      <c r="E9" s="16" t="n">
        <f aca="false">COUNTIFS(Skills!$C$2:$C$176,"Level 4",Skills!$M$2:$M$176,"Learning")</f>
        <v>0</v>
      </c>
      <c r="F9" s="16" t="n">
        <f aca="false">COUNTIFS(Skills!$C$2:$C$176,"Bonus",Skills!$M$2:$M$176,"Learning")</f>
        <v>0</v>
      </c>
      <c r="G9" s="15" t="n">
        <f aca="false">SUM(B9:F9)</f>
        <v>0</v>
      </c>
    </row>
    <row r="10" customFormat="false" ht="15" hidden="false" customHeight="false" outlineLevel="0" collapsed="false">
      <c r="A10" s="15" t="s">
        <v>1753</v>
      </c>
      <c r="B10" s="16" t="n">
        <f aca="false">COUNTIFS(Skills!$C$2:$C$176,"Level 1",Skills!$M$2:$M$176,"Clean")</f>
        <v>0</v>
      </c>
      <c r="C10" s="16" t="n">
        <f aca="false">COUNTIFS(Skills!$C$2:$C$176,"Level 2",Skills!$M$2:$M$176,"Clean")</f>
        <v>0</v>
      </c>
      <c r="D10" s="16" t="n">
        <f aca="false">COUNTIFS(Skills!$C$2:$C$176,"Level 3",Skills!$M$2:$M$176,"Clean")</f>
        <v>0</v>
      </c>
      <c r="E10" s="16" t="n">
        <f aca="false">COUNTIFS(Skills!$C$2:$C$176,"Level 4",Skills!$M$2:$M$176,"Clean")</f>
        <v>0</v>
      </c>
      <c r="F10" s="16" t="n">
        <f aca="false">COUNTIFS(Skills!$C$2:$C$176,"Bonus",Skills!$M$2:$M$176,"Clean")</f>
        <v>0</v>
      </c>
      <c r="G10" s="15" t="n">
        <f aca="false">SUM(B10:F10)</f>
        <v>0</v>
      </c>
    </row>
    <row r="11" customFormat="false" ht="15" hidden="false" customHeight="false" outlineLevel="0" collapsed="false">
      <c r="A11" s="15" t="s">
        <v>1754</v>
      </c>
      <c r="B11" s="16" t="n">
        <f aca="false">COUNTIFS(Skills!$C$2:$C$176,"Level 1",Skills!$M$2:$M$176,"Teacher-checked")</f>
        <v>0</v>
      </c>
      <c r="C11" s="16" t="n">
        <f aca="false">COUNTIFS(Skills!$C$2:$C$176,"Level 2",Skills!$M$2:$M$176,"Teacher-checked")</f>
        <v>0</v>
      </c>
      <c r="D11" s="16" t="n">
        <f aca="false">COUNTIFS(Skills!$C$2:$C$176,"Level 3",Skills!$M$2:$M$176,"Teacher-checked")</f>
        <v>0</v>
      </c>
      <c r="E11" s="16" t="n">
        <f aca="false">COUNTIFS(Skills!$C$2:$C$176,"Level 4",Skills!$M$2:$M$176,"Teacher-checked")</f>
        <v>0</v>
      </c>
      <c r="F11" s="16" t="n">
        <f aca="false">COUNTIFS(Skills!$C$2:$C$176,"Bonus",Skills!$M$2:$M$176,"Teacher-checked")</f>
        <v>0</v>
      </c>
      <c r="G11" s="15" t="n">
        <f aca="false">SUM(B11:F11)</f>
        <v>0</v>
      </c>
    </row>
    <row r="13" customFormat="false" ht="15" hidden="false" customHeight="false" outlineLevel="0" collapsed="false">
      <c r="A13" s="15" t="s">
        <v>1755</v>
      </c>
      <c r="B13" s="17" t="n">
        <f aca="false">IFERROR((COUNTIFS(Skills!$D$2:$D$176,"Yes",Skills!$M$2:$M$176,"Clean")+COUNTIFS(Skills!$D$2:$D$176,"Yes",Skills!$M$2:$M$176,"Teacher-checked"))/COUNTIFS(Skills!$D$2:$D$176,"Yes"),0)</f>
        <v>0</v>
      </c>
    </row>
    <row r="14" customFormat="false" ht="15" hidden="false" customHeight="false" outlineLevel="0" collapsed="false">
      <c r="A14" s="18" t="s">
        <v>1756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2026-10-23T05:08:50Z</dcterms:created>
  <dc:creator>openpyxl</dc:creator>
  <dc:description/>
  <dc:language>en-US</dc:language>
  <cp:lastModifiedBy/>
  <dcterms:modified xsi:type="dcterms:W3CDTF">2026-10-23T05:08:50Z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